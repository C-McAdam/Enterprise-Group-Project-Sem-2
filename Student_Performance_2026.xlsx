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Ex1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harts/chartEx2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di/Downloads/"/>
    </mc:Choice>
  </mc:AlternateContent>
  <xr:revisionPtr revIDLastSave="0" documentId="13_ncr:1_{3CDE124D-E4C8-C645-8D0F-88E2027390D1}" xr6:coauthVersionLast="47" xr6:coauthVersionMax="47" xr10:uidLastSave="{00000000-0000-0000-0000-000000000000}"/>
  <bookViews>
    <workbookView xWindow="0" yWindow="760" windowWidth="29400" windowHeight="17180" activeTab="2" xr2:uid="{E191524F-50CC-4647-A13F-E35264F811B6}"/>
  </bookViews>
  <sheets>
    <sheet name="Student_Performance_2026" sheetId="1" r:id="rId1"/>
    <sheet name="Cleaned_Data" sheetId="2" r:id="rId2"/>
    <sheet name="Analysis" sheetId="3" r:id="rId3"/>
  </sheets>
  <definedNames>
    <definedName name="_xlnm._FilterDatabase" localSheetId="1" hidden="1">Cleaned_Data!$A$1:$L$546</definedName>
    <definedName name="_xlchart.v1.0" hidden="1">Cleaned_Data!$M$2:$M$546</definedName>
    <definedName name="_xlchart.v1.1" hidden="1">Cleaned_Data!$I$2:$I$546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47" i="2" l="1"/>
  <c r="F223" i="1"/>
  <c r="P12" i="2"/>
  <c r="P11" i="2"/>
  <c r="M461" i="2"/>
  <c r="M462" i="2"/>
  <c r="M463" i="2"/>
  <c r="M464" i="2"/>
  <c r="M465" i="2"/>
  <c r="M466" i="2"/>
  <c r="M467" i="2"/>
  <c r="M468" i="2"/>
  <c r="M469" i="2"/>
  <c r="M470" i="2"/>
  <c r="M471" i="2"/>
  <c r="M472" i="2"/>
  <c r="M473" i="2"/>
  <c r="M474" i="2"/>
  <c r="M475" i="2"/>
  <c r="M476" i="2"/>
  <c r="M477" i="2"/>
  <c r="M478" i="2"/>
  <c r="M479" i="2"/>
  <c r="M480" i="2"/>
  <c r="M481" i="2"/>
  <c r="M482" i="2"/>
  <c r="M483" i="2"/>
  <c r="M484" i="2"/>
  <c r="M485" i="2"/>
  <c r="M486" i="2"/>
  <c r="M487" i="2"/>
  <c r="M488" i="2"/>
  <c r="M489" i="2"/>
  <c r="M490" i="2"/>
  <c r="M491" i="2"/>
  <c r="M492" i="2"/>
  <c r="M493" i="2"/>
  <c r="M494" i="2"/>
  <c r="M495" i="2"/>
  <c r="M496" i="2"/>
  <c r="M497" i="2"/>
  <c r="M498" i="2"/>
  <c r="M499" i="2"/>
  <c r="M500" i="2"/>
  <c r="M501" i="2"/>
  <c r="M502" i="2"/>
  <c r="M503" i="2"/>
  <c r="M504" i="2"/>
  <c r="M505" i="2"/>
  <c r="M506" i="2"/>
  <c r="M507" i="2"/>
  <c r="M508" i="2"/>
  <c r="M509" i="2"/>
  <c r="M510" i="2"/>
  <c r="M511" i="2"/>
  <c r="M512" i="2"/>
  <c r="M513" i="2"/>
  <c r="M514" i="2"/>
  <c r="M515" i="2"/>
  <c r="M516" i="2"/>
  <c r="M517" i="2"/>
  <c r="M518" i="2"/>
  <c r="M519" i="2"/>
  <c r="M520" i="2"/>
  <c r="M521" i="2"/>
  <c r="M522" i="2"/>
  <c r="M523" i="2"/>
  <c r="M524" i="2"/>
  <c r="M525" i="2"/>
  <c r="M526" i="2"/>
  <c r="M527" i="2"/>
  <c r="M528" i="2"/>
  <c r="M529" i="2"/>
  <c r="M530" i="2"/>
  <c r="M531" i="2"/>
  <c r="M532" i="2"/>
  <c r="M533" i="2"/>
  <c r="M534" i="2"/>
  <c r="M535" i="2"/>
  <c r="M536" i="2"/>
  <c r="M537" i="2"/>
  <c r="M538" i="2"/>
  <c r="M539" i="2"/>
  <c r="M540" i="2"/>
  <c r="M541" i="2"/>
  <c r="M542" i="2"/>
  <c r="M543" i="2"/>
  <c r="M544" i="2"/>
  <c r="M545" i="2"/>
  <c r="M546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M387" i="2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M401" i="2"/>
  <c r="M402" i="2"/>
  <c r="M403" i="2"/>
  <c r="M404" i="2"/>
  <c r="M405" i="2"/>
  <c r="M406" i="2"/>
  <c r="M407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6" i="2"/>
  <c r="M427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M440" i="2"/>
  <c r="M441" i="2"/>
  <c r="M442" i="2"/>
  <c r="M443" i="2"/>
  <c r="M444" i="2"/>
  <c r="M445" i="2"/>
  <c r="M446" i="2"/>
  <c r="M447" i="2"/>
  <c r="M448" i="2"/>
  <c r="M449" i="2"/>
  <c r="M450" i="2"/>
  <c r="M451" i="2"/>
  <c r="M452" i="2"/>
  <c r="M453" i="2"/>
  <c r="M454" i="2"/>
  <c r="M455" i="2"/>
  <c r="M456" i="2"/>
  <c r="M457" i="2"/>
  <c r="M458" i="2"/>
  <c r="M459" i="2"/>
  <c r="M460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M372" i="2"/>
  <c r="M373" i="2"/>
  <c r="M374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" i="2"/>
</calcChain>
</file>

<file path=xl/sharedStrings.xml><?xml version="1.0" encoding="utf-8"?>
<sst xmlns="http://schemas.openxmlformats.org/spreadsheetml/2006/main" count="2234" uniqueCount="587">
  <si>
    <t>student_ID</t>
  </si>
  <si>
    <t>Age</t>
  </si>
  <si>
    <t>Gender</t>
  </si>
  <si>
    <t>daily_screen_time_hours</t>
  </si>
  <si>
    <t>social_media_hours</t>
  </si>
  <si>
    <t>online_study_hours</t>
  </si>
  <si>
    <t>gaming_hours</t>
  </si>
  <si>
    <t>sleep_hours</t>
  </si>
  <si>
    <t>attendance_percentage</t>
  </si>
  <si>
    <t>offline_study_hours</t>
  </si>
  <si>
    <t>previous_sem_CGPA</t>
  </si>
  <si>
    <t>current_sem_CGPA</t>
  </si>
  <si>
    <t>S011</t>
  </si>
  <si>
    <t>Female</t>
  </si>
  <si>
    <t>S012</t>
  </si>
  <si>
    <t>S013</t>
  </si>
  <si>
    <t>S014</t>
  </si>
  <si>
    <t>Male</t>
  </si>
  <si>
    <t>S015</t>
  </si>
  <si>
    <t>S016</t>
  </si>
  <si>
    <t>S017</t>
  </si>
  <si>
    <t>S018</t>
  </si>
  <si>
    <t>S019</t>
  </si>
  <si>
    <t>S020</t>
  </si>
  <si>
    <t>S021</t>
  </si>
  <si>
    <t>S022</t>
  </si>
  <si>
    <t>S023</t>
  </si>
  <si>
    <t>S024</t>
  </si>
  <si>
    <t>S025</t>
  </si>
  <si>
    <t>S026</t>
  </si>
  <si>
    <t>S027</t>
  </si>
  <si>
    <t>S028</t>
  </si>
  <si>
    <t>S029</t>
  </si>
  <si>
    <t>S030</t>
  </si>
  <si>
    <t>S031</t>
  </si>
  <si>
    <t>S032</t>
  </si>
  <si>
    <t>S033</t>
  </si>
  <si>
    <t>S034</t>
  </si>
  <si>
    <t>S035</t>
  </si>
  <si>
    <t>S036</t>
  </si>
  <si>
    <t>S037</t>
  </si>
  <si>
    <t>S038</t>
  </si>
  <si>
    <t>S039</t>
  </si>
  <si>
    <t>S040</t>
  </si>
  <si>
    <t>S041</t>
  </si>
  <si>
    <t>S042</t>
  </si>
  <si>
    <t>S043</t>
  </si>
  <si>
    <t>S044</t>
  </si>
  <si>
    <t>S045</t>
  </si>
  <si>
    <t>S046</t>
  </si>
  <si>
    <t>S047</t>
  </si>
  <si>
    <t>S048</t>
  </si>
  <si>
    <t>S049</t>
  </si>
  <si>
    <t>S050</t>
  </si>
  <si>
    <t>S051</t>
  </si>
  <si>
    <t>S052</t>
  </si>
  <si>
    <t>S053</t>
  </si>
  <si>
    <t>S054</t>
  </si>
  <si>
    <t>S055</t>
  </si>
  <si>
    <t>S056</t>
  </si>
  <si>
    <t>S057</t>
  </si>
  <si>
    <t>S058</t>
  </si>
  <si>
    <t>S059</t>
  </si>
  <si>
    <t>S060</t>
  </si>
  <si>
    <t>S061</t>
  </si>
  <si>
    <t>S062</t>
  </si>
  <si>
    <t>S063</t>
  </si>
  <si>
    <t>S064</t>
  </si>
  <si>
    <t>S065</t>
  </si>
  <si>
    <t>S066</t>
  </si>
  <si>
    <t>S067</t>
  </si>
  <si>
    <t>S068</t>
  </si>
  <si>
    <t>S069</t>
  </si>
  <si>
    <t>S070</t>
  </si>
  <si>
    <t>S071</t>
  </si>
  <si>
    <t>S072</t>
  </si>
  <si>
    <t>S073</t>
  </si>
  <si>
    <t>S074</t>
  </si>
  <si>
    <t>S075</t>
  </si>
  <si>
    <t>S076</t>
  </si>
  <si>
    <t>S077</t>
  </si>
  <si>
    <t>S078</t>
  </si>
  <si>
    <t>S079</t>
  </si>
  <si>
    <t>S080</t>
  </si>
  <si>
    <t>S081</t>
  </si>
  <si>
    <t>S082</t>
  </si>
  <si>
    <t>S083</t>
  </si>
  <si>
    <t>S084</t>
  </si>
  <si>
    <t>S085</t>
  </si>
  <si>
    <t>S086</t>
  </si>
  <si>
    <t>S087</t>
  </si>
  <si>
    <t>S088</t>
  </si>
  <si>
    <t>S089</t>
  </si>
  <si>
    <t>S090</t>
  </si>
  <si>
    <t>S091</t>
  </si>
  <si>
    <t>S092</t>
  </si>
  <si>
    <t>S093</t>
  </si>
  <si>
    <t>S094</t>
  </si>
  <si>
    <t>S095</t>
  </si>
  <si>
    <t>S096</t>
  </si>
  <si>
    <t>S097</t>
  </si>
  <si>
    <t>S098</t>
  </si>
  <si>
    <t>S099</t>
  </si>
  <si>
    <t>S100</t>
  </si>
  <si>
    <t>S101</t>
  </si>
  <si>
    <t>S102</t>
  </si>
  <si>
    <t>S103</t>
  </si>
  <si>
    <t>S104</t>
  </si>
  <si>
    <t>S105</t>
  </si>
  <si>
    <t>S106</t>
  </si>
  <si>
    <t>S107</t>
  </si>
  <si>
    <t>S108</t>
  </si>
  <si>
    <t>S109</t>
  </si>
  <si>
    <t>S110</t>
  </si>
  <si>
    <t>S111</t>
  </si>
  <si>
    <t>S112</t>
  </si>
  <si>
    <t>S113</t>
  </si>
  <si>
    <t>S114</t>
  </si>
  <si>
    <t>S115</t>
  </si>
  <si>
    <t>S116</t>
  </si>
  <si>
    <t>S117</t>
  </si>
  <si>
    <t>S118</t>
  </si>
  <si>
    <t>S119</t>
  </si>
  <si>
    <t>S120</t>
  </si>
  <si>
    <t>S121</t>
  </si>
  <si>
    <t>S122</t>
  </si>
  <si>
    <t>S123</t>
  </si>
  <si>
    <t>S124</t>
  </si>
  <si>
    <t>S125</t>
  </si>
  <si>
    <t>S126</t>
  </si>
  <si>
    <t>S127</t>
  </si>
  <si>
    <t>S128</t>
  </si>
  <si>
    <t>S129</t>
  </si>
  <si>
    <t>S130</t>
  </si>
  <si>
    <t>S131</t>
  </si>
  <si>
    <t>S132</t>
  </si>
  <si>
    <t>S133</t>
  </si>
  <si>
    <t>S134</t>
  </si>
  <si>
    <t>S135</t>
  </si>
  <si>
    <t>S136</t>
  </si>
  <si>
    <t>S137</t>
  </si>
  <si>
    <t>S138</t>
  </si>
  <si>
    <t>S139</t>
  </si>
  <si>
    <t>S140</t>
  </si>
  <si>
    <t>S141</t>
  </si>
  <si>
    <t>S142</t>
  </si>
  <si>
    <t>S143</t>
  </si>
  <si>
    <t>S144</t>
  </si>
  <si>
    <t>S145</t>
  </si>
  <si>
    <t>S146</t>
  </si>
  <si>
    <t>S147</t>
  </si>
  <si>
    <t>S148</t>
  </si>
  <si>
    <t>S149</t>
  </si>
  <si>
    <t>S150</t>
  </si>
  <si>
    <t>S151</t>
  </si>
  <si>
    <t>S152</t>
  </si>
  <si>
    <t>S153</t>
  </si>
  <si>
    <t>S154</t>
  </si>
  <si>
    <t>S155</t>
  </si>
  <si>
    <t>S156</t>
  </si>
  <si>
    <t>S157</t>
  </si>
  <si>
    <t>S158</t>
  </si>
  <si>
    <t>S159</t>
  </si>
  <si>
    <t>S160</t>
  </si>
  <si>
    <t>S161</t>
  </si>
  <si>
    <t>S162</t>
  </si>
  <si>
    <t>S163</t>
  </si>
  <si>
    <t>S164</t>
  </si>
  <si>
    <t>S165</t>
  </si>
  <si>
    <t>S166</t>
  </si>
  <si>
    <t>S167</t>
  </si>
  <si>
    <t>S168</t>
  </si>
  <si>
    <t>S169</t>
  </si>
  <si>
    <t>S170</t>
  </si>
  <si>
    <t>S171</t>
  </si>
  <si>
    <t>S172</t>
  </si>
  <si>
    <t>S173</t>
  </si>
  <si>
    <t>S174</t>
  </si>
  <si>
    <t>S175</t>
  </si>
  <si>
    <t>S176</t>
  </si>
  <si>
    <t>S177</t>
  </si>
  <si>
    <t>S178</t>
  </si>
  <si>
    <t>S179</t>
  </si>
  <si>
    <t>S180</t>
  </si>
  <si>
    <t>S181</t>
  </si>
  <si>
    <t>S182</t>
  </si>
  <si>
    <t>S183</t>
  </si>
  <si>
    <t>S184</t>
  </si>
  <si>
    <t>S185</t>
  </si>
  <si>
    <t>S186</t>
  </si>
  <si>
    <t>S187</t>
  </si>
  <si>
    <t>S188</t>
  </si>
  <si>
    <t>S189</t>
  </si>
  <si>
    <t>S190</t>
  </si>
  <si>
    <t>S191</t>
  </si>
  <si>
    <t>S192</t>
  </si>
  <si>
    <t>S193</t>
  </si>
  <si>
    <t>S194</t>
  </si>
  <si>
    <t>S195</t>
  </si>
  <si>
    <t>S196</t>
  </si>
  <si>
    <t>S197</t>
  </si>
  <si>
    <t>S198</t>
  </si>
  <si>
    <t>S199</t>
  </si>
  <si>
    <t>S200</t>
  </si>
  <si>
    <t>S201</t>
  </si>
  <si>
    <t>S202</t>
  </si>
  <si>
    <t>S203</t>
  </si>
  <si>
    <t>S204</t>
  </si>
  <si>
    <t>S205</t>
  </si>
  <si>
    <t>S206</t>
  </si>
  <si>
    <t>S207</t>
  </si>
  <si>
    <t>S208</t>
  </si>
  <si>
    <t>S209</t>
  </si>
  <si>
    <t>S210</t>
  </si>
  <si>
    <t>S211</t>
  </si>
  <si>
    <t>S212</t>
  </si>
  <si>
    <t>S213</t>
  </si>
  <si>
    <t>S214</t>
  </si>
  <si>
    <t>S215</t>
  </si>
  <si>
    <t>S216</t>
  </si>
  <si>
    <t>S217</t>
  </si>
  <si>
    <t>S218</t>
  </si>
  <si>
    <t>S219</t>
  </si>
  <si>
    <t>S220</t>
  </si>
  <si>
    <t>S221</t>
  </si>
  <si>
    <t>S222</t>
  </si>
  <si>
    <t>S223</t>
  </si>
  <si>
    <t>S224</t>
  </si>
  <si>
    <t>S225</t>
  </si>
  <si>
    <t>S226</t>
  </si>
  <si>
    <t>S227</t>
  </si>
  <si>
    <t>S228</t>
  </si>
  <si>
    <t>S229</t>
  </si>
  <si>
    <t>S230</t>
  </si>
  <si>
    <t>S231</t>
  </si>
  <si>
    <t>S232</t>
  </si>
  <si>
    <t>S233</t>
  </si>
  <si>
    <t>S234</t>
  </si>
  <si>
    <t>S235</t>
  </si>
  <si>
    <t>S236</t>
  </si>
  <si>
    <t>S237</t>
  </si>
  <si>
    <t>S238</t>
  </si>
  <si>
    <t>S239</t>
  </si>
  <si>
    <t>S240</t>
  </si>
  <si>
    <t>S241</t>
  </si>
  <si>
    <t>S242</t>
  </si>
  <si>
    <t>S243</t>
  </si>
  <si>
    <t>S244</t>
  </si>
  <si>
    <t>S245</t>
  </si>
  <si>
    <t>S246</t>
  </si>
  <si>
    <t>S247</t>
  </si>
  <si>
    <t>S248</t>
  </si>
  <si>
    <t>S249</t>
  </si>
  <si>
    <t>S250</t>
  </si>
  <si>
    <t>S251</t>
  </si>
  <si>
    <t>S252</t>
  </si>
  <si>
    <t>S253</t>
  </si>
  <si>
    <t>S254</t>
  </si>
  <si>
    <t>S255</t>
  </si>
  <si>
    <t>S256</t>
  </si>
  <si>
    <t>S257</t>
  </si>
  <si>
    <t>S258</t>
  </si>
  <si>
    <t>S259</t>
  </si>
  <si>
    <t>S260</t>
  </si>
  <si>
    <t>S261</t>
  </si>
  <si>
    <t>S262</t>
  </si>
  <si>
    <t>S263</t>
  </si>
  <si>
    <t>S264</t>
  </si>
  <si>
    <t>S265</t>
  </si>
  <si>
    <t>S266</t>
  </si>
  <si>
    <t>S267</t>
  </si>
  <si>
    <t>S268</t>
  </si>
  <si>
    <t>S269</t>
  </si>
  <si>
    <t>S270</t>
  </si>
  <si>
    <t>S271</t>
  </si>
  <si>
    <t>S272</t>
  </si>
  <si>
    <t>S273</t>
  </si>
  <si>
    <t>S274</t>
  </si>
  <si>
    <t>S275</t>
  </si>
  <si>
    <t>S276</t>
  </si>
  <si>
    <t>S277</t>
  </si>
  <si>
    <t>S278</t>
  </si>
  <si>
    <t>S279</t>
  </si>
  <si>
    <t>S280</t>
  </si>
  <si>
    <t>S281</t>
  </si>
  <si>
    <t>S282</t>
  </si>
  <si>
    <t>S283</t>
  </si>
  <si>
    <t>S284</t>
  </si>
  <si>
    <t>S285</t>
  </si>
  <si>
    <t>S286</t>
  </si>
  <si>
    <t>S287</t>
  </si>
  <si>
    <t>S288</t>
  </si>
  <si>
    <t>S289</t>
  </si>
  <si>
    <t>S290</t>
  </si>
  <si>
    <t>S291</t>
  </si>
  <si>
    <t>S292</t>
  </si>
  <si>
    <t>S293</t>
  </si>
  <si>
    <t>S294</t>
  </si>
  <si>
    <t>S295</t>
  </si>
  <si>
    <t>S296</t>
  </si>
  <si>
    <t>S297</t>
  </si>
  <si>
    <t>S298</t>
  </si>
  <si>
    <t>S299</t>
  </si>
  <si>
    <t>S300</t>
  </si>
  <si>
    <t>S301</t>
  </si>
  <si>
    <t>S302</t>
  </si>
  <si>
    <t>S303</t>
  </si>
  <si>
    <t>S304</t>
  </si>
  <si>
    <t>S305</t>
  </si>
  <si>
    <t>S306</t>
  </si>
  <si>
    <t>S307</t>
  </si>
  <si>
    <t>S308</t>
  </si>
  <si>
    <t>S309</t>
  </si>
  <si>
    <t>S310</t>
  </si>
  <si>
    <t>S311</t>
  </si>
  <si>
    <t>S312</t>
  </si>
  <si>
    <t>S313</t>
  </si>
  <si>
    <t>S314</t>
  </si>
  <si>
    <t>S315</t>
  </si>
  <si>
    <t>S316</t>
  </si>
  <si>
    <t>S317</t>
  </si>
  <si>
    <t>S318</t>
  </si>
  <si>
    <t>S319</t>
  </si>
  <si>
    <t>S320</t>
  </si>
  <si>
    <t>S321</t>
  </si>
  <si>
    <t>S322</t>
  </si>
  <si>
    <t>S323</t>
  </si>
  <si>
    <t>S324</t>
  </si>
  <si>
    <t>S325</t>
  </si>
  <si>
    <t>S326</t>
  </si>
  <si>
    <t>S327</t>
  </si>
  <si>
    <t>S328</t>
  </si>
  <si>
    <t>S329</t>
  </si>
  <si>
    <t>S330</t>
  </si>
  <si>
    <t>S331</t>
  </si>
  <si>
    <t>S332</t>
  </si>
  <si>
    <t>S333</t>
  </si>
  <si>
    <t>S334</t>
  </si>
  <si>
    <t>S335</t>
  </si>
  <si>
    <t>S336</t>
  </si>
  <si>
    <t>S337</t>
  </si>
  <si>
    <t>S338</t>
  </si>
  <si>
    <t>S339</t>
  </si>
  <si>
    <t>S340</t>
  </si>
  <si>
    <t>S341</t>
  </si>
  <si>
    <t>S342</t>
  </si>
  <si>
    <t>S343</t>
  </si>
  <si>
    <t>S344</t>
  </si>
  <si>
    <t>S345</t>
  </si>
  <si>
    <t>S346</t>
  </si>
  <si>
    <t>S347</t>
  </si>
  <si>
    <t>S348</t>
  </si>
  <si>
    <t>S349</t>
  </si>
  <si>
    <t>S350</t>
  </si>
  <si>
    <t>S351</t>
  </si>
  <si>
    <t>S352</t>
  </si>
  <si>
    <t>S353</t>
  </si>
  <si>
    <t>S354</t>
  </si>
  <si>
    <t>S355</t>
  </si>
  <si>
    <t>S356</t>
  </si>
  <si>
    <t>S357</t>
  </si>
  <si>
    <t>S358</t>
  </si>
  <si>
    <t>S359</t>
  </si>
  <si>
    <t>S360</t>
  </si>
  <si>
    <t>S361</t>
  </si>
  <si>
    <t>S362</t>
  </si>
  <si>
    <t>S363</t>
  </si>
  <si>
    <t>S364</t>
  </si>
  <si>
    <t>S365</t>
  </si>
  <si>
    <t>S366</t>
  </si>
  <si>
    <t>S367</t>
  </si>
  <si>
    <t>S368</t>
  </si>
  <si>
    <t>S369</t>
  </si>
  <si>
    <t>S370</t>
  </si>
  <si>
    <t>S371</t>
  </si>
  <si>
    <t>S372</t>
  </si>
  <si>
    <t>S373</t>
  </si>
  <si>
    <t>S374</t>
  </si>
  <si>
    <t>S375</t>
  </si>
  <si>
    <t>S376</t>
  </si>
  <si>
    <t>S377</t>
  </si>
  <si>
    <t>S378</t>
  </si>
  <si>
    <t>S379</t>
  </si>
  <si>
    <t>S380</t>
  </si>
  <si>
    <t>S381</t>
  </si>
  <si>
    <t>S382</t>
  </si>
  <si>
    <t>S383</t>
  </si>
  <si>
    <t>S384</t>
  </si>
  <si>
    <t>S385</t>
  </si>
  <si>
    <t>S386</t>
  </si>
  <si>
    <t>S387</t>
  </si>
  <si>
    <t>S388</t>
  </si>
  <si>
    <t>S389</t>
  </si>
  <si>
    <t>S390</t>
  </si>
  <si>
    <t>S391</t>
  </si>
  <si>
    <t>S392</t>
  </si>
  <si>
    <t>S393</t>
  </si>
  <si>
    <t>S394</t>
  </si>
  <si>
    <t>S395</t>
  </si>
  <si>
    <t>S396</t>
  </si>
  <si>
    <t>S397</t>
  </si>
  <si>
    <t>S398</t>
  </si>
  <si>
    <t>S399</t>
  </si>
  <si>
    <t>S400</t>
  </si>
  <si>
    <t>S401</t>
  </si>
  <si>
    <t>S402</t>
  </si>
  <si>
    <t>S403</t>
  </si>
  <si>
    <t>S404</t>
  </si>
  <si>
    <t>S405</t>
  </si>
  <si>
    <t>S406</t>
  </si>
  <si>
    <t>S407</t>
  </si>
  <si>
    <t>S408</t>
  </si>
  <si>
    <t>S409</t>
  </si>
  <si>
    <t>S410</t>
  </si>
  <si>
    <t>S411</t>
  </si>
  <si>
    <t>S412</t>
  </si>
  <si>
    <t>S413</t>
  </si>
  <si>
    <t>S414</t>
  </si>
  <si>
    <t>S415</t>
  </si>
  <si>
    <t>S416</t>
  </si>
  <si>
    <t>S417</t>
  </si>
  <si>
    <t>S418</t>
  </si>
  <si>
    <t>S419</t>
  </si>
  <si>
    <t>S420</t>
  </si>
  <si>
    <t>S421</t>
  </si>
  <si>
    <t>S422</t>
  </si>
  <si>
    <t>S423</t>
  </si>
  <si>
    <t>S424</t>
  </si>
  <si>
    <t>S425</t>
  </si>
  <si>
    <t>S426</t>
  </si>
  <si>
    <t>S427</t>
  </si>
  <si>
    <t>S428</t>
  </si>
  <si>
    <t>S429</t>
  </si>
  <si>
    <t>S430</t>
  </si>
  <si>
    <t>S431</t>
  </si>
  <si>
    <t>S432</t>
  </si>
  <si>
    <t>S433</t>
  </si>
  <si>
    <t>S434</t>
  </si>
  <si>
    <t>S435</t>
  </si>
  <si>
    <t>S436</t>
  </si>
  <si>
    <t>S437</t>
  </si>
  <si>
    <t>S438</t>
  </si>
  <si>
    <t>S439</t>
  </si>
  <si>
    <t>S440</t>
  </si>
  <si>
    <t>S441</t>
  </si>
  <si>
    <t>S442</t>
  </si>
  <si>
    <t>S443</t>
  </si>
  <si>
    <t>S444</t>
  </si>
  <si>
    <t>S445</t>
  </si>
  <si>
    <t>S446</t>
  </si>
  <si>
    <t>S447</t>
  </si>
  <si>
    <t>S448</t>
  </si>
  <si>
    <t>S449</t>
  </si>
  <si>
    <t>S450</t>
  </si>
  <si>
    <t>S451</t>
  </si>
  <si>
    <t>S452</t>
  </si>
  <si>
    <t>S453</t>
  </si>
  <si>
    <t>S454</t>
  </si>
  <si>
    <t>S455</t>
  </si>
  <si>
    <t>S456</t>
  </si>
  <si>
    <t>S457</t>
  </si>
  <si>
    <t>S458</t>
  </si>
  <si>
    <t>S459</t>
  </si>
  <si>
    <t>S460</t>
  </si>
  <si>
    <t>S461</t>
  </si>
  <si>
    <t>S462</t>
  </si>
  <si>
    <t>S463</t>
  </si>
  <si>
    <t>S464</t>
  </si>
  <si>
    <t>S465</t>
  </si>
  <si>
    <t>S466</t>
  </si>
  <si>
    <t>S467</t>
  </si>
  <si>
    <t>S468</t>
  </si>
  <si>
    <t>S469</t>
  </si>
  <si>
    <t>S470</t>
  </si>
  <si>
    <t>S471</t>
  </si>
  <si>
    <t>S472</t>
  </si>
  <si>
    <t>S473</t>
  </si>
  <si>
    <t>S474</t>
  </si>
  <si>
    <t>S475</t>
  </si>
  <si>
    <t>S476</t>
  </si>
  <si>
    <t>S477</t>
  </si>
  <si>
    <t>S478</t>
  </si>
  <si>
    <t>S479</t>
  </si>
  <si>
    <t>S480</t>
  </si>
  <si>
    <t>S481</t>
  </si>
  <si>
    <t>S482</t>
  </si>
  <si>
    <t>S483</t>
  </si>
  <si>
    <t>S484</t>
  </si>
  <si>
    <t>S485</t>
  </si>
  <si>
    <t>S486</t>
  </si>
  <si>
    <t>S487</t>
  </si>
  <si>
    <t>S488</t>
  </si>
  <si>
    <t>S489</t>
  </si>
  <si>
    <t>S490</t>
  </si>
  <si>
    <t>S491</t>
  </si>
  <si>
    <t>S492</t>
  </si>
  <si>
    <t>S493</t>
  </si>
  <si>
    <t>S494</t>
  </si>
  <si>
    <t>S495</t>
  </si>
  <si>
    <t>S496</t>
  </si>
  <si>
    <t>S497</t>
  </si>
  <si>
    <t>S498</t>
  </si>
  <si>
    <t>S499</t>
  </si>
  <si>
    <t>S500</t>
  </si>
  <si>
    <t>S501</t>
  </si>
  <si>
    <t>S502</t>
  </si>
  <si>
    <t>S503</t>
  </si>
  <si>
    <t>S504</t>
  </si>
  <si>
    <t>S505</t>
  </si>
  <si>
    <t>S506</t>
  </si>
  <si>
    <t>S507</t>
  </si>
  <si>
    <t>S508</t>
  </si>
  <si>
    <t>S509</t>
  </si>
  <si>
    <t>S510</t>
  </si>
  <si>
    <t>S511</t>
  </si>
  <si>
    <t>S512</t>
  </si>
  <si>
    <t>S513</t>
  </si>
  <si>
    <t>S514</t>
  </si>
  <si>
    <t>S515</t>
  </si>
  <si>
    <t>S516</t>
  </si>
  <si>
    <t>S517</t>
  </si>
  <si>
    <t>S518</t>
  </si>
  <si>
    <t>S519</t>
  </si>
  <si>
    <t>S520</t>
  </si>
  <si>
    <t>S521</t>
  </si>
  <si>
    <t>S522</t>
  </si>
  <si>
    <t>S523</t>
  </si>
  <si>
    <t>S524</t>
  </si>
  <si>
    <t>S525</t>
  </si>
  <si>
    <t>S526</t>
  </si>
  <si>
    <t>S527</t>
  </si>
  <si>
    <t>S528</t>
  </si>
  <si>
    <t>S529</t>
  </si>
  <si>
    <t>S530</t>
  </si>
  <si>
    <t>S531</t>
  </si>
  <si>
    <t>S532</t>
  </si>
  <si>
    <t>S533</t>
  </si>
  <si>
    <t>S534</t>
  </si>
  <si>
    <t>S535</t>
  </si>
  <si>
    <t>S536</t>
  </si>
  <si>
    <t>S537</t>
  </si>
  <si>
    <t>S538</t>
  </si>
  <si>
    <t>S539</t>
  </si>
  <si>
    <t>S540</t>
  </si>
  <si>
    <t>S541</t>
  </si>
  <si>
    <t>S542</t>
  </si>
  <si>
    <t>S543</t>
  </si>
  <si>
    <t>S544</t>
  </si>
  <si>
    <t>S545</t>
  </si>
  <si>
    <t>S546</t>
  </si>
  <si>
    <t>S547</t>
  </si>
  <si>
    <t>S548</t>
  </si>
  <si>
    <t>S549</t>
  </si>
  <si>
    <t>S550</t>
  </si>
  <si>
    <t>S551</t>
  </si>
  <si>
    <t>S552</t>
  </si>
  <si>
    <t>S553</t>
  </si>
  <si>
    <t>S554</t>
  </si>
  <si>
    <t>S555</t>
  </si>
  <si>
    <t>S556</t>
  </si>
  <si>
    <t>Student_ID</t>
  </si>
  <si>
    <t>Daily_Screen_Time_hours</t>
  </si>
  <si>
    <t>Social_Media_Hours</t>
  </si>
  <si>
    <t>Online_Study_Hours</t>
  </si>
  <si>
    <t>Gaming_Hours</t>
  </si>
  <si>
    <t>Sleep_Hours</t>
  </si>
  <si>
    <t>Attendance_Percentage</t>
  </si>
  <si>
    <t>Offline_Study_Hours</t>
  </si>
  <si>
    <t>Previous_Sem_CGPA</t>
  </si>
  <si>
    <t>Current_Sem_CGPA</t>
  </si>
  <si>
    <t>Mean</t>
  </si>
  <si>
    <t>Median</t>
  </si>
  <si>
    <t>Mode</t>
  </si>
  <si>
    <t>Min</t>
  </si>
  <si>
    <t>Max</t>
  </si>
  <si>
    <t>Std Dev</t>
  </si>
  <si>
    <t>Total Students</t>
  </si>
  <si>
    <t>Male Students</t>
  </si>
  <si>
    <t>Female Students</t>
  </si>
  <si>
    <t>Total Study Hours</t>
  </si>
  <si>
    <t xml:space="preserve">Female Average </t>
  </si>
  <si>
    <t>Male Average</t>
  </si>
  <si>
    <t>S558</t>
  </si>
  <si>
    <t>6y</t>
  </si>
  <si>
    <t>we</t>
  </si>
  <si>
    <t>uy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</si>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</sst>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b/>
      <sz val="11"/>
      <color theme="1"/>
      <name val="Aptos Narrow"/>
      <scheme val="minor"/>
    </font>
    <font>
      <b/>
      <sz val="12"/>
      <color rgb="FF000000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9" fillId="0" borderId="0" xfId="0" applyFont="1"/>
    <xf numFmtId="0" fontId="20" fillId="0" borderId="0" xfId="0" applyFont="1"/>
    <xf numFmtId="0" fontId="18" fillId="0" borderId="0" xfId="0" applyFont="1" applyAlignment="1">
      <alignment horizontal="center"/>
    </xf>
    <xf numFmtId="0" fontId="21" fillId="0" borderId="0" xfId="0" applyFon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Study</a:t>
            </a:r>
            <a:r>
              <a:rPr lang="en-US" baseline="0"/>
              <a:t> time vs Peformance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9231365509363146E-2"/>
          <c:y val="0.1161467025924085"/>
          <c:w val="0.92760801272897886"/>
          <c:h val="0.73999366458503035"/>
        </c:manualLayout>
      </c:layout>
      <c:lineChart>
        <c:grouping val="standard"/>
        <c:varyColors val="0"/>
        <c:ser>
          <c:idx val="0"/>
          <c:order val="0"/>
          <c:tx>
            <c:strRef>
              <c:f>Cleaned_Data!$F$1</c:f>
              <c:strCache>
                <c:ptCount val="1"/>
                <c:pt idx="0">
                  <c:v>Online_Study_Hours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Cleaned_Data!$F$2:$F$557</c:f>
              <c:numCache>
                <c:formatCode>General</c:formatCode>
                <c:ptCount val="556"/>
                <c:pt idx="0">
                  <c:v>5.0999999999999996</c:v>
                </c:pt>
                <c:pt idx="1">
                  <c:v>2.1</c:v>
                </c:pt>
                <c:pt idx="2">
                  <c:v>0</c:v>
                </c:pt>
                <c:pt idx="3">
                  <c:v>2.2999999999999998</c:v>
                </c:pt>
                <c:pt idx="4">
                  <c:v>2.4</c:v>
                </c:pt>
                <c:pt idx="5">
                  <c:v>5.9</c:v>
                </c:pt>
                <c:pt idx="6">
                  <c:v>5.4</c:v>
                </c:pt>
                <c:pt idx="7">
                  <c:v>5</c:v>
                </c:pt>
                <c:pt idx="8">
                  <c:v>2.9</c:v>
                </c:pt>
                <c:pt idx="9">
                  <c:v>0.6</c:v>
                </c:pt>
                <c:pt idx="10">
                  <c:v>5.7</c:v>
                </c:pt>
                <c:pt idx="11">
                  <c:v>3.9</c:v>
                </c:pt>
                <c:pt idx="12">
                  <c:v>0.1</c:v>
                </c:pt>
                <c:pt idx="13">
                  <c:v>1.7</c:v>
                </c:pt>
                <c:pt idx="14">
                  <c:v>5.3</c:v>
                </c:pt>
                <c:pt idx="15">
                  <c:v>3.8</c:v>
                </c:pt>
                <c:pt idx="16">
                  <c:v>2.6</c:v>
                </c:pt>
                <c:pt idx="17">
                  <c:v>2.6</c:v>
                </c:pt>
                <c:pt idx="18">
                  <c:v>0.6</c:v>
                </c:pt>
                <c:pt idx="19">
                  <c:v>2.4</c:v>
                </c:pt>
                <c:pt idx="20">
                  <c:v>0.7</c:v>
                </c:pt>
                <c:pt idx="21">
                  <c:v>1.2</c:v>
                </c:pt>
                <c:pt idx="22">
                  <c:v>3.9</c:v>
                </c:pt>
                <c:pt idx="23">
                  <c:v>0.8</c:v>
                </c:pt>
                <c:pt idx="24">
                  <c:v>5.3</c:v>
                </c:pt>
                <c:pt idx="25">
                  <c:v>3.6</c:v>
                </c:pt>
                <c:pt idx="26">
                  <c:v>4.2</c:v>
                </c:pt>
                <c:pt idx="27">
                  <c:v>3.5</c:v>
                </c:pt>
                <c:pt idx="28">
                  <c:v>5.0999999999999996</c:v>
                </c:pt>
                <c:pt idx="29">
                  <c:v>1.4</c:v>
                </c:pt>
                <c:pt idx="30">
                  <c:v>0.1</c:v>
                </c:pt>
                <c:pt idx="31">
                  <c:v>3</c:v>
                </c:pt>
                <c:pt idx="32">
                  <c:v>2.9</c:v>
                </c:pt>
                <c:pt idx="33">
                  <c:v>3.6</c:v>
                </c:pt>
                <c:pt idx="34">
                  <c:v>0.5</c:v>
                </c:pt>
                <c:pt idx="35">
                  <c:v>2.8</c:v>
                </c:pt>
                <c:pt idx="36">
                  <c:v>2.2000000000000002</c:v>
                </c:pt>
                <c:pt idx="37">
                  <c:v>3.6</c:v>
                </c:pt>
                <c:pt idx="38">
                  <c:v>0.6</c:v>
                </c:pt>
                <c:pt idx="39">
                  <c:v>6</c:v>
                </c:pt>
                <c:pt idx="40">
                  <c:v>0</c:v>
                </c:pt>
                <c:pt idx="41">
                  <c:v>2.1</c:v>
                </c:pt>
                <c:pt idx="42">
                  <c:v>4.4000000000000004</c:v>
                </c:pt>
                <c:pt idx="43">
                  <c:v>2.2000000000000002</c:v>
                </c:pt>
                <c:pt idx="44">
                  <c:v>1.7</c:v>
                </c:pt>
                <c:pt idx="45">
                  <c:v>0.4</c:v>
                </c:pt>
                <c:pt idx="46">
                  <c:v>0.4</c:v>
                </c:pt>
                <c:pt idx="47">
                  <c:v>4.2</c:v>
                </c:pt>
                <c:pt idx="48">
                  <c:v>3.6</c:v>
                </c:pt>
                <c:pt idx="49">
                  <c:v>2</c:v>
                </c:pt>
                <c:pt idx="50">
                  <c:v>1.6</c:v>
                </c:pt>
                <c:pt idx="51">
                  <c:v>1.1000000000000001</c:v>
                </c:pt>
                <c:pt idx="52">
                  <c:v>2.2000000000000002</c:v>
                </c:pt>
                <c:pt idx="53">
                  <c:v>3.7</c:v>
                </c:pt>
                <c:pt idx="54">
                  <c:v>5.0999999999999996</c:v>
                </c:pt>
                <c:pt idx="55">
                  <c:v>5.8</c:v>
                </c:pt>
                <c:pt idx="56">
                  <c:v>1.4</c:v>
                </c:pt>
                <c:pt idx="57">
                  <c:v>4.8</c:v>
                </c:pt>
                <c:pt idx="58">
                  <c:v>0.1</c:v>
                </c:pt>
                <c:pt idx="59">
                  <c:v>3.4</c:v>
                </c:pt>
                <c:pt idx="60">
                  <c:v>1</c:v>
                </c:pt>
                <c:pt idx="61">
                  <c:v>4.5</c:v>
                </c:pt>
                <c:pt idx="62">
                  <c:v>0.3</c:v>
                </c:pt>
                <c:pt idx="63">
                  <c:v>4.5</c:v>
                </c:pt>
                <c:pt idx="64">
                  <c:v>5.8</c:v>
                </c:pt>
                <c:pt idx="65">
                  <c:v>3.9</c:v>
                </c:pt>
                <c:pt idx="66">
                  <c:v>0.7</c:v>
                </c:pt>
                <c:pt idx="67">
                  <c:v>2</c:v>
                </c:pt>
                <c:pt idx="68">
                  <c:v>0.8</c:v>
                </c:pt>
                <c:pt idx="69">
                  <c:v>5.2</c:v>
                </c:pt>
                <c:pt idx="70">
                  <c:v>2.1</c:v>
                </c:pt>
                <c:pt idx="71">
                  <c:v>1.9</c:v>
                </c:pt>
                <c:pt idx="72">
                  <c:v>4.3</c:v>
                </c:pt>
                <c:pt idx="73">
                  <c:v>1.2</c:v>
                </c:pt>
                <c:pt idx="74">
                  <c:v>2.5</c:v>
                </c:pt>
                <c:pt idx="75">
                  <c:v>4</c:v>
                </c:pt>
                <c:pt idx="76">
                  <c:v>1.6</c:v>
                </c:pt>
                <c:pt idx="77">
                  <c:v>3.7</c:v>
                </c:pt>
                <c:pt idx="78">
                  <c:v>5.5</c:v>
                </c:pt>
                <c:pt idx="79">
                  <c:v>2.2000000000000002</c:v>
                </c:pt>
                <c:pt idx="80">
                  <c:v>4.7</c:v>
                </c:pt>
                <c:pt idx="81">
                  <c:v>0.2</c:v>
                </c:pt>
                <c:pt idx="82">
                  <c:v>3.9</c:v>
                </c:pt>
                <c:pt idx="83">
                  <c:v>1</c:v>
                </c:pt>
                <c:pt idx="84">
                  <c:v>1.8</c:v>
                </c:pt>
                <c:pt idx="85">
                  <c:v>0.8</c:v>
                </c:pt>
                <c:pt idx="86">
                  <c:v>1.5</c:v>
                </c:pt>
                <c:pt idx="87">
                  <c:v>4.5</c:v>
                </c:pt>
                <c:pt idx="88">
                  <c:v>1.4</c:v>
                </c:pt>
                <c:pt idx="89">
                  <c:v>3.1</c:v>
                </c:pt>
                <c:pt idx="90">
                  <c:v>5.9</c:v>
                </c:pt>
                <c:pt idx="91">
                  <c:v>0</c:v>
                </c:pt>
                <c:pt idx="92">
                  <c:v>5</c:v>
                </c:pt>
                <c:pt idx="93">
                  <c:v>2.5</c:v>
                </c:pt>
                <c:pt idx="94">
                  <c:v>3.3</c:v>
                </c:pt>
                <c:pt idx="95">
                  <c:v>4.5999999999999996</c:v>
                </c:pt>
                <c:pt idx="96">
                  <c:v>2.8</c:v>
                </c:pt>
                <c:pt idx="97">
                  <c:v>3.5</c:v>
                </c:pt>
                <c:pt idx="98">
                  <c:v>0.8</c:v>
                </c:pt>
                <c:pt idx="99">
                  <c:v>3.1</c:v>
                </c:pt>
                <c:pt idx="100">
                  <c:v>1</c:v>
                </c:pt>
                <c:pt idx="101">
                  <c:v>4.4000000000000004</c:v>
                </c:pt>
                <c:pt idx="102">
                  <c:v>1.5</c:v>
                </c:pt>
                <c:pt idx="103">
                  <c:v>0.9</c:v>
                </c:pt>
                <c:pt idx="104">
                  <c:v>2.4</c:v>
                </c:pt>
                <c:pt idx="105">
                  <c:v>2</c:v>
                </c:pt>
                <c:pt idx="106">
                  <c:v>0.2</c:v>
                </c:pt>
                <c:pt idx="107">
                  <c:v>1.3</c:v>
                </c:pt>
                <c:pt idx="108">
                  <c:v>5.9</c:v>
                </c:pt>
                <c:pt idx="109">
                  <c:v>2.7</c:v>
                </c:pt>
                <c:pt idx="110">
                  <c:v>0.3</c:v>
                </c:pt>
                <c:pt idx="111">
                  <c:v>5.6</c:v>
                </c:pt>
                <c:pt idx="112">
                  <c:v>5.2</c:v>
                </c:pt>
                <c:pt idx="113">
                  <c:v>4.9000000000000004</c:v>
                </c:pt>
                <c:pt idx="114">
                  <c:v>4.8</c:v>
                </c:pt>
                <c:pt idx="115">
                  <c:v>2.7</c:v>
                </c:pt>
                <c:pt idx="116">
                  <c:v>4</c:v>
                </c:pt>
                <c:pt idx="117">
                  <c:v>2.9</c:v>
                </c:pt>
                <c:pt idx="118">
                  <c:v>5.5</c:v>
                </c:pt>
                <c:pt idx="119">
                  <c:v>2.2999999999999998</c:v>
                </c:pt>
                <c:pt idx="120">
                  <c:v>1.7</c:v>
                </c:pt>
                <c:pt idx="121">
                  <c:v>3.6</c:v>
                </c:pt>
                <c:pt idx="122">
                  <c:v>1</c:v>
                </c:pt>
                <c:pt idx="123">
                  <c:v>2.4</c:v>
                </c:pt>
                <c:pt idx="124">
                  <c:v>1.6</c:v>
                </c:pt>
                <c:pt idx="125">
                  <c:v>3.8</c:v>
                </c:pt>
                <c:pt idx="126">
                  <c:v>0.4</c:v>
                </c:pt>
                <c:pt idx="127">
                  <c:v>5</c:v>
                </c:pt>
                <c:pt idx="128">
                  <c:v>5.5</c:v>
                </c:pt>
                <c:pt idx="129">
                  <c:v>0.6</c:v>
                </c:pt>
                <c:pt idx="130">
                  <c:v>3.1</c:v>
                </c:pt>
                <c:pt idx="131">
                  <c:v>4.3</c:v>
                </c:pt>
                <c:pt idx="132">
                  <c:v>4.8</c:v>
                </c:pt>
                <c:pt idx="133">
                  <c:v>3</c:v>
                </c:pt>
                <c:pt idx="134">
                  <c:v>4</c:v>
                </c:pt>
                <c:pt idx="135">
                  <c:v>5.5</c:v>
                </c:pt>
                <c:pt idx="136">
                  <c:v>3.5</c:v>
                </c:pt>
                <c:pt idx="137">
                  <c:v>0.1</c:v>
                </c:pt>
                <c:pt idx="138">
                  <c:v>2.6</c:v>
                </c:pt>
                <c:pt idx="139">
                  <c:v>1.2</c:v>
                </c:pt>
                <c:pt idx="140">
                  <c:v>0.7</c:v>
                </c:pt>
                <c:pt idx="141">
                  <c:v>0.6</c:v>
                </c:pt>
                <c:pt idx="142">
                  <c:v>0.6</c:v>
                </c:pt>
                <c:pt idx="143">
                  <c:v>2.7</c:v>
                </c:pt>
                <c:pt idx="144">
                  <c:v>5.2</c:v>
                </c:pt>
                <c:pt idx="145">
                  <c:v>1.3</c:v>
                </c:pt>
                <c:pt idx="146">
                  <c:v>5.8</c:v>
                </c:pt>
                <c:pt idx="147">
                  <c:v>1.1000000000000001</c:v>
                </c:pt>
                <c:pt idx="148">
                  <c:v>3</c:v>
                </c:pt>
                <c:pt idx="149">
                  <c:v>2.2000000000000002</c:v>
                </c:pt>
                <c:pt idx="150">
                  <c:v>0.2</c:v>
                </c:pt>
                <c:pt idx="151">
                  <c:v>5.4</c:v>
                </c:pt>
                <c:pt idx="152">
                  <c:v>0.5</c:v>
                </c:pt>
                <c:pt idx="153">
                  <c:v>5.5</c:v>
                </c:pt>
                <c:pt idx="154">
                  <c:v>4.5999999999999996</c:v>
                </c:pt>
                <c:pt idx="155">
                  <c:v>0.8</c:v>
                </c:pt>
                <c:pt idx="156">
                  <c:v>4</c:v>
                </c:pt>
                <c:pt idx="157">
                  <c:v>3.5</c:v>
                </c:pt>
                <c:pt idx="158">
                  <c:v>1.6</c:v>
                </c:pt>
                <c:pt idx="159">
                  <c:v>2.5</c:v>
                </c:pt>
                <c:pt idx="160">
                  <c:v>2.5</c:v>
                </c:pt>
                <c:pt idx="161">
                  <c:v>0.1</c:v>
                </c:pt>
                <c:pt idx="162">
                  <c:v>4.2</c:v>
                </c:pt>
                <c:pt idx="163">
                  <c:v>3.9</c:v>
                </c:pt>
                <c:pt idx="164">
                  <c:v>4.2</c:v>
                </c:pt>
                <c:pt idx="165">
                  <c:v>3</c:v>
                </c:pt>
                <c:pt idx="166">
                  <c:v>1.5</c:v>
                </c:pt>
                <c:pt idx="167">
                  <c:v>0.1</c:v>
                </c:pt>
                <c:pt idx="168">
                  <c:v>4.7</c:v>
                </c:pt>
                <c:pt idx="169">
                  <c:v>1.2</c:v>
                </c:pt>
                <c:pt idx="170">
                  <c:v>4.5</c:v>
                </c:pt>
                <c:pt idx="171">
                  <c:v>5.2</c:v>
                </c:pt>
                <c:pt idx="172">
                  <c:v>5.5</c:v>
                </c:pt>
                <c:pt idx="173">
                  <c:v>3.5</c:v>
                </c:pt>
                <c:pt idx="174">
                  <c:v>2.5</c:v>
                </c:pt>
                <c:pt idx="175">
                  <c:v>0.8</c:v>
                </c:pt>
                <c:pt idx="176">
                  <c:v>2.6</c:v>
                </c:pt>
                <c:pt idx="177">
                  <c:v>2.9</c:v>
                </c:pt>
                <c:pt idx="178">
                  <c:v>5.2</c:v>
                </c:pt>
                <c:pt idx="179">
                  <c:v>1.9</c:v>
                </c:pt>
                <c:pt idx="180">
                  <c:v>4.4000000000000004</c:v>
                </c:pt>
                <c:pt idx="181">
                  <c:v>5.9</c:v>
                </c:pt>
                <c:pt idx="182">
                  <c:v>2.4</c:v>
                </c:pt>
                <c:pt idx="183">
                  <c:v>1.4</c:v>
                </c:pt>
                <c:pt idx="184">
                  <c:v>5.5</c:v>
                </c:pt>
                <c:pt idx="185">
                  <c:v>1.7</c:v>
                </c:pt>
                <c:pt idx="186">
                  <c:v>5.2</c:v>
                </c:pt>
                <c:pt idx="187">
                  <c:v>1</c:v>
                </c:pt>
                <c:pt idx="188">
                  <c:v>3.2</c:v>
                </c:pt>
                <c:pt idx="189">
                  <c:v>1.9</c:v>
                </c:pt>
                <c:pt idx="190">
                  <c:v>6</c:v>
                </c:pt>
                <c:pt idx="191">
                  <c:v>1.2</c:v>
                </c:pt>
                <c:pt idx="192">
                  <c:v>4.9000000000000004</c:v>
                </c:pt>
                <c:pt idx="193">
                  <c:v>2</c:v>
                </c:pt>
                <c:pt idx="194">
                  <c:v>2.1</c:v>
                </c:pt>
                <c:pt idx="195">
                  <c:v>4.9000000000000004</c:v>
                </c:pt>
                <c:pt idx="196">
                  <c:v>4.8</c:v>
                </c:pt>
                <c:pt idx="197">
                  <c:v>3.3</c:v>
                </c:pt>
                <c:pt idx="198">
                  <c:v>5.3</c:v>
                </c:pt>
                <c:pt idx="199">
                  <c:v>5.6</c:v>
                </c:pt>
                <c:pt idx="200">
                  <c:v>2.2000000000000002</c:v>
                </c:pt>
                <c:pt idx="201">
                  <c:v>0.8</c:v>
                </c:pt>
                <c:pt idx="202">
                  <c:v>0</c:v>
                </c:pt>
                <c:pt idx="203">
                  <c:v>0.8</c:v>
                </c:pt>
                <c:pt idx="204">
                  <c:v>1.6</c:v>
                </c:pt>
                <c:pt idx="205">
                  <c:v>1.7</c:v>
                </c:pt>
                <c:pt idx="206">
                  <c:v>3.7</c:v>
                </c:pt>
                <c:pt idx="207">
                  <c:v>4.4000000000000004</c:v>
                </c:pt>
                <c:pt idx="208">
                  <c:v>1.5</c:v>
                </c:pt>
                <c:pt idx="209">
                  <c:v>2.9</c:v>
                </c:pt>
                <c:pt idx="210">
                  <c:v>0.3</c:v>
                </c:pt>
                <c:pt idx="211">
                  <c:v>2.9</c:v>
                </c:pt>
                <c:pt idx="212">
                  <c:v>3.1</c:v>
                </c:pt>
                <c:pt idx="213">
                  <c:v>4.7</c:v>
                </c:pt>
                <c:pt idx="214">
                  <c:v>0.7</c:v>
                </c:pt>
                <c:pt idx="215">
                  <c:v>0.9</c:v>
                </c:pt>
                <c:pt idx="216">
                  <c:v>5.5</c:v>
                </c:pt>
                <c:pt idx="217">
                  <c:v>3</c:v>
                </c:pt>
                <c:pt idx="218">
                  <c:v>3</c:v>
                </c:pt>
                <c:pt idx="219">
                  <c:v>2</c:v>
                </c:pt>
                <c:pt idx="220">
                  <c:v>1.2</c:v>
                </c:pt>
                <c:pt idx="221">
                  <c:v>1.9</c:v>
                </c:pt>
                <c:pt idx="222">
                  <c:v>0.2</c:v>
                </c:pt>
                <c:pt idx="223">
                  <c:v>0.5</c:v>
                </c:pt>
                <c:pt idx="224">
                  <c:v>5.5</c:v>
                </c:pt>
                <c:pt idx="225">
                  <c:v>5.9</c:v>
                </c:pt>
                <c:pt idx="226">
                  <c:v>3.4</c:v>
                </c:pt>
                <c:pt idx="227">
                  <c:v>5</c:v>
                </c:pt>
                <c:pt idx="228">
                  <c:v>2.5</c:v>
                </c:pt>
                <c:pt idx="229">
                  <c:v>0.2</c:v>
                </c:pt>
                <c:pt idx="230">
                  <c:v>3.7</c:v>
                </c:pt>
                <c:pt idx="231">
                  <c:v>5</c:v>
                </c:pt>
                <c:pt idx="232">
                  <c:v>2.8</c:v>
                </c:pt>
                <c:pt idx="233">
                  <c:v>5.2</c:v>
                </c:pt>
                <c:pt idx="234">
                  <c:v>3.5</c:v>
                </c:pt>
                <c:pt idx="235">
                  <c:v>4.0999999999999996</c:v>
                </c:pt>
                <c:pt idx="236">
                  <c:v>0.8</c:v>
                </c:pt>
                <c:pt idx="237">
                  <c:v>5.5</c:v>
                </c:pt>
                <c:pt idx="238">
                  <c:v>2.2000000000000002</c:v>
                </c:pt>
                <c:pt idx="239">
                  <c:v>1.2</c:v>
                </c:pt>
                <c:pt idx="240">
                  <c:v>2.6</c:v>
                </c:pt>
                <c:pt idx="241">
                  <c:v>4.4000000000000004</c:v>
                </c:pt>
                <c:pt idx="242">
                  <c:v>5.6</c:v>
                </c:pt>
                <c:pt idx="243">
                  <c:v>0.3</c:v>
                </c:pt>
                <c:pt idx="244">
                  <c:v>4.5</c:v>
                </c:pt>
                <c:pt idx="245">
                  <c:v>1.8</c:v>
                </c:pt>
                <c:pt idx="246">
                  <c:v>5.5</c:v>
                </c:pt>
                <c:pt idx="247">
                  <c:v>5.2</c:v>
                </c:pt>
                <c:pt idx="248">
                  <c:v>5</c:v>
                </c:pt>
                <c:pt idx="249">
                  <c:v>0.4</c:v>
                </c:pt>
                <c:pt idx="250">
                  <c:v>1.7</c:v>
                </c:pt>
                <c:pt idx="251">
                  <c:v>2.7</c:v>
                </c:pt>
                <c:pt idx="252">
                  <c:v>1.6</c:v>
                </c:pt>
                <c:pt idx="253">
                  <c:v>2.2999999999999998</c:v>
                </c:pt>
                <c:pt idx="254">
                  <c:v>2</c:v>
                </c:pt>
                <c:pt idx="255">
                  <c:v>4</c:v>
                </c:pt>
                <c:pt idx="256">
                  <c:v>4.7</c:v>
                </c:pt>
                <c:pt idx="257">
                  <c:v>0.2</c:v>
                </c:pt>
                <c:pt idx="258">
                  <c:v>3.8</c:v>
                </c:pt>
                <c:pt idx="259">
                  <c:v>2.5</c:v>
                </c:pt>
                <c:pt idx="260">
                  <c:v>0.6</c:v>
                </c:pt>
                <c:pt idx="261">
                  <c:v>4.7</c:v>
                </c:pt>
                <c:pt idx="262">
                  <c:v>1.7</c:v>
                </c:pt>
                <c:pt idx="263">
                  <c:v>0.9</c:v>
                </c:pt>
                <c:pt idx="264">
                  <c:v>2</c:v>
                </c:pt>
                <c:pt idx="265">
                  <c:v>4.5</c:v>
                </c:pt>
                <c:pt idx="266">
                  <c:v>0.2</c:v>
                </c:pt>
                <c:pt idx="267">
                  <c:v>4</c:v>
                </c:pt>
                <c:pt idx="268">
                  <c:v>4.5</c:v>
                </c:pt>
                <c:pt idx="269">
                  <c:v>5.8</c:v>
                </c:pt>
                <c:pt idx="270">
                  <c:v>1.8</c:v>
                </c:pt>
                <c:pt idx="271">
                  <c:v>0.1</c:v>
                </c:pt>
                <c:pt idx="272">
                  <c:v>4.7</c:v>
                </c:pt>
                <c:pt idx="273">
                  <c:v>5.8</c:v>
                </c:pt>
                <c:pt idx="274">
                  <c:v>2.2000000000000002</c:v>
                </c:pt>
                <c:pt idx="275">
                  <c:v>2.8</c:v>
                </c:pt>
                <c:pt idx="276">
                  <c:v>1.6</c:v>
                </c:pt>
                <c:pt idx="277">
                  <c:v>3.3</c:v>
                </c:pt>
                <c:pt idx="278">
                  <c:v>0.1</c:v>
                </c:pt>
                <c:pt idx="279">
                  <c:v>0.8</c:v>
                </c:pt>
                <c:pt idx="280">
                  <c:v>0.5</c:v>
                </c:pt>
                <c:pt idx="281">
                  <c:v>5.4</c:v>
                </c:pt>
                <c:pt idx="282">
                  <c:v>3.6</c:v>
                </c:pt>
                <c:pt idx="283">
                  <c:v>3.6</c:v>
                </c:pt>
                <c:pt idx="284">
                  <c:v>0.7</c:v>
                </c:pt>
                <c:pt idx="285">
                  <c:v>2.7</c:v>
                </c:pt>
                <c:pt idx="286">
                  <c:v>1.8</c:v>
                </c:pt>
                <c:pt idx="287">
                  <c:v>4.5999999999999996</c:v>
                </c:pt>
                <c:pt idx="288">
                  <c:v>3</c:v>
                </c:pt>
                <c:pt idx="289">
                  <c:v>5.8</c:v>
                </c:pt>
                <c:pt idx="290">
                  <c:v>2.8</c:v>
                </c:pt>
                <c:pt idx="291">
                  <c:v>0.3</c:v>
                </c:pt>
                <c:pt idx="292">
                  <c:v>0.3</c:v>
                </c:pt>
                <c:pt idx="293">
                  <c:v>3.9</c:v>
                </c:pt>
                <c:pt idx="294">
                  <c:v>4.2</c:v>
                </c:pt>
                <c:pt idx="295">
                  <c:v>1.7</c:v>
                </c:pt>
                <c:pt idx="296">
                  <c:v>0.8</c:v>
                </c:pt>
                <c:pt idx="297">
                  <c:v>4.9000000000000004</c:v>
                </c:pt>
                <c:pt idx="298">
                  <c:v>2.7</c:v>
                </c:pt>
                <c:pt idx="299">
                  <c:v>2.9</c:v>
                </c:pt>
                <c:pt idx="300">
                  <c:v>3.8</c:v>
                </c:pt>
                <c:pt idx="301">
                  <c:v>4.4000000000000004</c:v>
                </c:pt>
                <c:pt idx="302">
                  <c:v>1.4</c:v>
                </c:pt>
                <c:pt idx="303">
                  <c:v>0.8</c:v>
                </c:pt>
                <c:pt idx="304">
                  <c:v>4.5999999999999996</c:v>
                </c:pt>
                <c:pt idx="305">
                  <c:v>5.0999999999999996</c:v>
                </c:pt>
                <c:pt idx="306">
                  <c:v>3.4</c:v>
                </c:pt>
                <c:pt idx="307">
                  <c:v>1.1000000000000001</c:v>
                </c:pt>
                <c:pt idx="308">
                  <c:v>2.1</c:v>
                </c:pt>
                <c:pt idx="309">
                  <c:v>2.2999999999999998</c:v>
                </c:pt>
                <c:pt idx="310">
                  <c:v>0.7</c:v>
                </c:pt>
                <c:pt idx="311">
                  <c:v>2</c:v>
                </c:pt>
                <c:pt idx="312">
                  <c:v>3.3</c:v>
                </c:pt>
                <c:pt idx="313">
                  <c:v>4.9000000000000004</c:v>
                </c:pt>
                <c:pt idx="314">
                  <c:v>1.5</c:v>
                </c:pt>
                <c:pt idx="315">
                  <c:v>3.7</c:v>
                </c:pt>
                <c:pt idx="316">
                  <c:v>0.4</c:v>
                </c:pt>
                <c:pt idx="317">
                  <c:v>4.5</c:v>
                </c:pt>
                <c:pt idx="318">
                  <c:v>1.7</c:v>
                </c:pt>
                <c:pt idx="319">
                  <c:v>5.5</c:v>
                </c:pt>
                <c:pt idx="320">
                  <c:v>3.3</c:v>
                </c:pt>
                <c:pt idx="321">
                  <c:v>2.6</c:v>
                </c:pt>
                <c:pt idx="322">
                  <c:v>2.2000000000000002</c:v>
                </c:pt>
                <c:pt idx="323">
                  <c:v>4.7</c:v>
                </c:pt>
                <c:pt idx="324">
                  <c:v>1.8</c:v>
                </c:pt>
                <c:pt idx="325">
                  <c:v>5.2</c:v>
                </c:pt>
                <c:pt idx="326">
                  <c:v>5</c:v>
                </c:pt>
                <c:pt idx="327">
                  <c:v>5.6</c:v>
                </c:pt>
                <c:pt idx="328">
                  <c:v>4.3</c:v>
                </c:pt>
                <c:pt idx="329">
                  <c:v>3.7</c:v>
                </c:pt>
                <c:pt idx="330">
                  <c:v>0</c:v>
                </c:pt>
                <c:pt idx="331">
                  <c:v>5</c:v>
                </c:pt>
                <c:pt idx="332">
                  <c:v>1.9</c:v>
                </c:pt>
                <c:pt idx="333">
                  <c:v>2.2999999999999998</c:v>
                </c:pt>
                <c:pt idx="334">
                  <c:v>5.2</c:v>
                </c:pt>
                <c:pt idx="335">
                  <c:v>3.5</c:v>
                </c:pt>
                <c:pt idx="336">
                  <c:v>4.5</c:v>
                </c:pt>
                <c:pt idx="337">
                  <c:v>1.9</c:v>
                </c:pt>
                <c:pt idx="338">
                  <c:v>0.1</c:v>
                </c:pt>
                <c:pt idx="339">
                  <c:v>4.4000000000000004</c:v>
                </c:pt>
                <c:pt idx="340">
                  <c:v>5.2</c:v>
                </c:pt>
                <c:pt idx="341">
                  <c:v>3.7</c:v>
                </c:pt>
                <c:pt idx="342">
                  <c:v>5.4</c:v>
                </c:pt>
                <c:pt idx="343">
                  <c:v>0.4</c:v>
                </c:pt>
                <c:pt idx="344">
                  <c:v>0.6</c:v>
                </c:pt>
                <c:pt idx="345">
                  <c:v>5.0999999999999996</c:v>
                </c:pt>
                <c:pt idx="346">
                  <c:v>5.8</c:v>
                </c:pt>
                <c:pt idx="347">
                  <c:v>5.9</c:v>
                </c:pt>
                <c:pt idx="348">
                  <c:v>0.2</c:v>
                </c:pt>
                <c:pt idx="349">
                  <c:v>2</c:v>
                </c:pt>
                <c:pt idx="350">
                  <c:v>1.3</c:v>
                </c:pt>
                <c:pt idx="351">
                  <c:v>4.5</c:v>
                </c:pt>
                <c:pt idx="352">
                  <c:v>0.6</c:v>
                </c:pt>
                <c:pt idx="353">
                  <c:v>3.1</c:v>
                </c:pt>
                <c:pt idx="354">
                  <c:v>2.4</c:v>
                </c:pt>
                <c:pt idx="355">
                  <c:v>0.3</c:v>
                </c:pt>
                <c:pt idx="356">
                  <c:v>0</c:v>
                </c:pt>
                <c:pt idx="357">
                  <c:v>0.5</c:v>
                </c:pt>
                <c:pt idx="358">
                  <c:v>1.6</c:v>
                </c:pt>
                <c:pt idx="359">
                  <c:v>4.4000000000000004</c:v>
                </c:pt>
                <c:pt idx="360">
                  <c:v>5.4</c:v>
                </c:pt>
                <c:pt idx="361">
                  <c:v>1.6</c:v>
                </c:pt>
                <c:pt idx="362">
                  <c:v>5.4</c:v>
                </c:pt>
                <c:pt idx="363">
                  <c:v>5</c:v>
                </c:pt>
                <c:pt idx="364">
                  <c:v>4.3</c:v>
                </c:pt>
                <c:pt idx="365">
                  <c:v>1.5</c:v>
                </c:pt>
                <c:pt idx="366">
                  <c:v>1.3</c:v>
                </c:pt>
                <c:pt idx="367">
                  <c:v>1.5</c:v>
                </c:pt>
                <c:pt idx="368">
                  <c:v>1.5</c:v>
                </c:pt>
                <c:pt idx="369">
                  <c:v>3.8</c:v>
                </c:pt>
                <c:pt idx="370">
                  <c:v>5.2</c:v>
                </c:pt>
                <c:pt idx="371">
                  <c:v>2.2999999999999998</c:v>
                </c:pt>
                <c:pt idx="372">
                  <c:v>0.8</c:v>
                </c:pt>
                <c:pt idx="373">
                  <c:v>2.6</c:v>
                </c:pt>
                <c:pt idx="374">
                  <c:v>5.9</c:v>
                </c:pt>
                <c:pt idx="375">
                  <c:v>4</c:v>
                </c:pt>
                <c:pt idx="376">
                  <c:v>3.8</c:v>
                </c:pt>
                <c:pt idx="377">
                  <c:v>4.7</c:v>
                </c:pt>
                <c:pt idx="378">
                  <c:v>5</c:v>
                </c:pt>
                <c:pt idx="379">
                  <c:v>0.3</c:v>
                </c:pt>
                <c:pt idx="380">
                  <c:v>5.8</c:v>
                </c:pt>
                <c:pt idx="381">
                  <c:v>4.2</c:v>
                </c:pt>
                <c:pt idx="382">
                  <c:v>0.9</c:v>
                </c:pt>
                <c:pt idx="383">
                  <c:v>5.2</c:v>
                </c:pt>
                <c:pt idx="384">
                  <c:v>1.3</c:v>
                </c:pt>
                <c:pt idx="385">
                  <c:v>3.2</c:v>
                </c:pt>
                <c:pt idx="386">
                  <c:v>4.3</c:v>
                </c:pt>
                <c:pt idx="387">
                  <c:v>3.3</c:v>
                </c:pt>
                <c:pt idx="388">
                  <c:v>5.6</c:v>
                </c:pt>
                <c:pt idx="389">
                  <c:v>1.4</c:v>
                </c:pt>
                <c:pt idx="390">
                  <c:v>2.6</c:v>
                </c:pt>
                <c:pt idx="391">
                  <c:v>0.1</c:v>
                </c:pt>
                <c:pt idx="392">
                  <c:v>4</c:v>
                </c:pt>
                <c:pt idx="393">
                  <c:v>5.0999999999999996</c:v>
                </c:pt>
                <c:pt idx="394">
                  <c:v>2.7</c:v>
                </c:pt>
                <c:pt idx="395">
                  <c:v>1.8</c:v>
                </c:pt>
                <c:pt idx="396">
                  <c:v>3.4</c:v>
                </c:pt>
                <c:pt idx="397">
                  <c:v>3.2</c:v>
                </c:pt>
                <c:pt idx="398">
                  <c:v>2.9</c:v>
                </c:pt>
                <c:pt idx="399">
                  <c:v>4</c:v>
                </c:pt>
                <c:pt idx="400">
                  <c:v>5.9</c:v>
                </c:pt>
                <c:pt idx="401">
                  <c:v>0.1</c:v>
                </c:pt>
                <c:pt idx="402">
                  <c:v>3.9</c:v>
                </c:pt>
                <c:pt idx="403">
                  <c:v>2.1</c:v>
                </c:pt>
                <c:pt idx="404">
                  <c:v>4.8</c:v>
                </c:pt>
                <c:pt idx="405">
                  <c:v>2.2000000000000002</c:v>
                </c:pt>
                <c:pt idx="406">
                  <c:v>3.3</c:v>
                </c:pt>
                <c:pt idx="407">
                  <c:v>4.3</c:v>
                </c:pt>
                <c:pt idx="408">
                  <c:v>3.8</c:v>
                </c:pt>
                <c:pt idx="409">
                  <c:v>2.2999999999999998</c:v>
                </c:pt>
                <c:pt idx="410">
                  <c:v>3.1</c:v>
                </c:pt>
                <c:pt idx="411">
                  <c:v>0.7</c:v>
                </c:pt>
                <c:pt idx="412">
                  <c:v>2.8</c:v>
                </c:pt>
                <c:pt idx="413">
                  <c:v>4</c:v>
                </c:pt>
                <c:pt idx="414">
                  <c:v>4.0999999999999996</c:v>
                </c:pt>
                <c:pt idx="415">
                  <c:v>3</c:v>
                </c:pt>
                <c:pt idx="416">
                  <c:v>1</c:v>
                </c:pt>
                <c:pt idx="417">
                  <c:v>1.6</c:v>
                </c:pt>
                <c:pt idx="418">
                  <c:v>1</c:v>
                </c:pt>
                <c:pt idx="419">
                  <c:v>1.6</c:v>
                </c:pt>
                <c:pt idx="420">
                  <c:v>0.9</c:v>
                </c:pt>
                <c:pt idx="421">
                  <c:v>0.8</c:v>
                </c:pt>
                <c:pt idx="422">
                  <c:v>4.2</c:v>
                </c:pt>
                <c:pt idx="423">
                  <c:v>1.3</c:v>
                </c:pt>
                <c:pt idx="424">
                  <c:v>6</c:v>
                </c:pt>
                <c:pt idx="425">
                  <c:v>2.7</c:v>
                </c:pt>
                <c:pt idx="426">
                  <c:v>3.5</c:v>
                </c:pt>
                <c:pt idx="427">
                  <c:v>0.2</c:v>
                </c:pt>
                <c:pt idx="428">
                  <c:v>1.6</c:v>
                </c:pt>
                <c:pt idx="429">
                  <c:v>4.7</c:v>
                </c:pt>
                <c:pt idx="430">
                  <c:v>2.6</c:v>
                </c:pt>
                <c:pt idx="431">
                  <c:v>4.2</c:v>
                </c:pt>
                <c:pt idx="432">
                  <c:v>2</c:v>
                </c:pt>
                <c:pt idx="433">
                  <c:v>5.8</c:v>
                </c:pt>
                <c:pt idx="434">
                  <c:v>2</c:v>
                </c:pt>
                <c:pt idx="435">
                  <c:v>2.8</c:v>
                </c:pt>
                <c:pt idx="436">
                  <c:v>2.6</c:v>
                </c:pt>
                <c:pt idx="437">
                  <c:v>0.6</c:v>
                </c:pt>
                <c:pt idx="438">
                  <c:v>1.3</c:v>
                </c:pt>
                <c:pt idx="439">
                  <c:v>3.1</c:v>
                </c:pt>
                <c:pt idx="440">
                  <c:v>3</c:v>
                </c:pt>
                <c:pt idx="441">
                  <c:v>5.8</c:v>
                </c:pt>
                <c:pt idx="442">
                  <c:v>4</c:v>
                </c:pt>
                <c:pt idx="443">
                  <c:v>2.5</c:v>
                </c:pt>
                <c:pt idx="444">
                  <c:v>0.9</c:v>
                </c:pt>
                <c:pt idx="445">
                  <c:v>2.9</c:v>
                </c:pt>
                <c:pt idx="446">
                  <c:v>4.3</c:v>
                </c:pt>
                <c:pt idx="447">
                  <c:v>5.8</c:v>
                </c:pt>
                <c:pt idx="448">
                  <c:v>1.6</c:v>
                </c:pt>
                <c:pt idx="449">
                  <c:v>1.1000000000000001</c:v>
                </c:pt>
                <c:pt idx="450">
                  <c:v>2.4</c:v>
                </c:pt>
                <c:pt idx="451">
                  <c:v>5.4</c:v>
                </c:pt>
                <c:pt idx="452">
                  <c:v>5.5</c:v>
                </c:pt>
                <c:pt idx="453">
                  <c:v>2.4</c:v>
                </c:pt>
                <c:pt idx="454">
                  <c:v>5.0999999999999996</c:v>
                </c:pt>
                <c:pt idx="455">
                  <c:v>5.6</c:v>
                </c:pt>
                <c:pt idx="456">
                  <c:v>2.8</c:v>
                </c:pt>
                <c:pt idx="457">
                  <c:v>1.2</c:v>
                </c:pt>
                <c:pt idx="458">
                  <c:v>0.9</c:v>
                </c:pt>
                <c:pt idx="459">
                  <c:v>4.2</c:v>
                </c:pt>
                <c:pt idx="460">
                  <c:v>0.9</c:v>
                </c:pt>
                <c:pt idx="461">
                  <c:v>1.8</c:v>
                </c:pt>
                <c:pt idx="462">
                  <c:v>5.0999999999999996</c:v>
                </c:pt>
                <c:pt idx="463">
                  <c:v>2.9</c:v>
                </c:pt>
                <c:pt idx="464">
                  <c:v>0.9</c:v>
                </c:pt>
                <c:pt idx="465">
                  <c:v>5.4</c:v>
                </c:pt>
                <c:pt idx="466">
                  <c:v>2.8</c:v>
                </c:pt>
                <c:pt idx="467">
                  <c:v>4.0999999999999996</c:v>
                </c:pt>
                <c:pt idx="468">
                  <c:v>5.3</c:v>
                </c:pt>
                <c:pt idx="469">
                  <c:v>0</c:v>
                </c:pt>
                <c:pt idx="470">
                  <c:v>0.2</c:v>
                </c:pt>
                <c:pt idx="471">
                  <c:v>2.7</c:v>
                </c:pt>
                <c:pt idx="472">
                  <c:v>1</c:v>
                </c:pt>
                <c:pt idx="473">
                  <c:v>1</c:v>
                </c:pt>
                <c:pt idx="474">
                  <c:v>2.2000000000000002</c:v>
                </c:pt>
                <c:pt idx="475">
                  <c:v>4.2</c:v>
                </c:pt>
                <c:pt idx="476">
                  <c:v>3.6</c:v>
                </c:pt>
                <c:pt idx="477">
                  <c:v>5.2</c:v>
                </c:pt>
                <c:pt idx="478">
                  <c:v>1.5</c:v>
                </c:pt>
                <c:pt idx="479">
                  <c:v>0.7</c:v>
                </c:pt>
                <c:pt idx="480">
                  <c:v>3</c:v>
                </c:pt>
                <c:pt idx="481">
                  <c:v>3.7</c:v>
                </c:pt>
                <c:pt idx="482">
                  <c:v>0.6</c:v>
                </c:pt>
                <c:pt idx="483">
                  <c:v>3.1</c:v>
                </c:pt>
                <c:pt idx="484">
                  <c:v>4.2</c:v>
                </c:pt>
                <c:pt idx="485">
                  <c:v>0.2</c:v>
                </c:pt>
                <c:pt idx="486">
                  <c:v>5.8</c:v>
                </c:pt>
                <c:pt idx="487">
                  <c:v>4.3</c:v>
                </c:pt>
                <c:pt idx="488">
                  <c:v>1.9</c:v>
                </c:pt>
                <c:pt idx="489">
                  <c:v>3.9</c:v>
                </c:pt>
                <c:pt idx="490">
                  <c:v>1.1000000000000001</c:v>
                </c:pt>
                <c:pt idx="491">
                  <c:v>5.5</c:v>
                </c:pt>
                <c:pt idx="492">
                  <c:v>3.9</c:v>
                </c:pt>
                <c:pt idx="493">
                  <c:v>0.8</c:v>
                </c:pt>
                <c:pt idx="494">
                  <c:v>5.0999999999999996</c:v>
                </c:pt>
                <c:pt idx="495">
                  <c:v>1.2</c:v>
                </c:pt>
                <c:pt idx="496">
                  <c:v>0.9</c:v>
                </c:pt>
                <c:pt idx="497">
                  <c:v>3.5</c:v>
                </c:pt>
                <c:pt idx="498">
                  <c:v>3.3</c:v>
                </c:pt>
                <c:pt idx="499">
                  <c:v>2.8</c:v>
                </c:pt>
                <c:pt idx="500">
                  <c:v>2.7</c:v>
                </c:pt>
                <c:pt idx="501">
                  <c:v>3.6</c:v>
                </c:pt>
                <c:pt idx="502">
                  <c:v>5.7</c:v>
                </c:pt>
                <c:pt idx="503">
                  <c:v>2.4</c:v>
                </c:pt>
                <c:pt idx="504">
                  <c:v>4.5</c:v>
                </c:pt>
                <c:pt idx="505">
                  <c:v>4.4000000000000004</c:v>
                </c:pt>
                <c:pt idx="506">
                  <c:v>0.3</c:v>
                </c:pt>
                <c:pt idx="507">
                  <c:v>5.3</c:v>
                </c:pt>
                <c:pt idx="508">
                  <c:v>6</c:v>
                </c:pt>
                <c:pt idx="509">
                  <c:v>1.4</c:v>
                </c:pt>
                <c:pt idx="510">
                  <c:v>1.3</c:v>
                </c:pt>
                <c:pt idx="511">
                  <c:v>3.7</c:v>
                </c:pt>
                <c:pt idx="512">
                  <c:v>6</c:v>
                </c:pt>
                <c:pt idx="513">
                  <c:v>1.7</c:v>
                </c:pt>
                <c:pt idx="514">
                  <c:v>4.7</c:v>
                </c:pt>
                <c:pt idx="515">
                  <c:v>0.4</c:v>
                </c:pt>
                <c:pt idx="516">
                  <c:v>1.7</c:v>
                </c:pt>
                <c:pt idx="517">
                  <c:v>5.3</c:v>
                </c:pt>
                <c:pt idx="518">
                  <c:v>4</c:v>
                </c:pt>
                <c:pt idx="519">
                  <c:v>1.6</c:v>
                </c:pt>
                <c:pt idx="520">
                  <c:v>3.2</c:v>
                </c:pt>
                <c:pt idx="521">
                  <c:v>3.3</c:v>
                </c:pt>
                <c:pt idx="522">
                  <c:v>5.5</c:v>
                </c:pt>
                <c:pt idx="523">
                  <c:v>5.9</c:v>
                </c:pt>
                <c:pt idx="524">
                  <c:v>2.1</c:v>
                </c:pt>
                <c:pt idx="525">
                  <c:v>0.2</c:v>
                </c:pt>
                <c:pt idx="526">
                  <c:v>1.3</c:v>
                </c:pt>
                <c:pt idx="527">
                  <c:v>1.7</c:v>
                </c:pt>
                <c:pt idx="528">
                  <c:v>0.1</c:v>
                </c:pt>
                <c:pt idx="529">
                  <c:v>0.2</c:v>
                </c:pt>
                <c:pt idx="530">
                  <c:v>0.6</c:v>
                </c:pt>
                <c:pt idx="531">
                  <c:v>2.2000000000000002</c:v>
                </c:pt>
                <c:pt idx="532">
                  <c:v>0.5</c:v>
                </c:pt>
                <c:pt idx="533">
                  <c:v>5.0999999999999996</c:v>
                </c:pt>
                <c:pt idx="534">
                  <c:v>0.3</c:v>
                </c:pt>
                <c:pt idx="535">
                  <c:v>5.5</c:v>
                </c:pt>
                <c:pt idx="536">
                  <c:v>0.8</c:v>
                </c:pt>
                <c:pt idx="537">
                  <c:v>0</c:v>
                </c:pt>
                <c:pt idx="538">
                  <c:v>2.2000000000000002</c:v>
                </c:pt>
                <c:pt idx="539">
                  <c:v>4.4000000000000004</c:v>
                </c:pt>
                <c:pt idx="540">
                  <c:v>5.9</c:v>
                </c:pt>
                <c:pt idx="541">
                  <c:v>3.6</c:v>
                </c:pt>
                <c:pt idx="542">
                  <c:v>1.7</c:v>
                </c:pt>
                <c:pt idx="543">
                  <c:v>0.2</c:v>
                </c:pt>
                <c:pt idx="544">
                  <c:v>1.3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12D-0E4F-8BE1-BD802E64C152}"/>
            </c:ext>
          </c:extLst>
        </c:ser>
        <c:ser>
          <c:idx val="1"/>
          <c:order val="1"/>
          <c:tx>
            <c:strRef>
              <c:f>Cleaned_Data!$J$1</c:f>
              <c:strCache>
                <c:ptCount val="1"/>
                <c:pt idx="0">
                  <c:v>Offline_Study_Hours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Cleaned_Data!$J$2:$J$557</c:f>
              <c:numCache>
                <c:formatCode>General</c:formatCode>
                <c:ptCount val="556"/>
                <c:pt idx="0">
                  <c:v>2.6</c:v>
                </c:pt>
                <c:pt idx="1">
                  <c:v>2.2999999999999998</c:v>
                </c:pt>
                <c:pt idx="2">
                  <c:v>2.1</c:v>
                </c:pt>
                <c:pt idx="3">
                  <c:v>2.2999999999999998</c:v>
                </c:pt>
                <c:pt idx="4">
                  <c:v>2.2999999999999998</c:v>
                </c:pt>
                <c:pt idx="5">
                  <c:v>3.2</c:v>
                </c:pt>
                <c:pt idx="6">
                  <c:v>3.1</c:v>
                </c:pt>
                <c:pt idx="7">
                  <c:v>2.9</c:v>
                </c:pt>
                <c:pt idx="8">
                  <c:v>2.5</c:v>
                </c:pt>
                <c:pt idx="9">
                  <c:v>2.1</c:v>
                </c:pt>
                <c:pt idx="10">
                  <c:v>2.8</c:v>
                </c:pt>
                <c:pt idx="11">
                  <c:v>2.4</c:v>
                </c:pt>
                <c:pt idx="12">
                  <c:v>2.2000000000000002</c:v>
                </c:pt>
                <c:pt idx="13">
                  <c:v>2.2000000000000002</c:v>
                </c:pt>
                <c:pt idx="14">
                  <c:v>3.2</c:v>
                </c:pt>
                <c:pt idx="15">
                  <c:v>2.5</c:v>
                </c:pt>
                <c:pt idx="16">
                  <c:v>2.4</c:v>
                </c:pt>
                <c:pt idx="17">
                  <c:v>2.6</c:v>
                </c:pt>
                <c:pt idx="18">
                  <c:v>2</c:v>
                </c:pt>
                <c:pt idx="19">
                  <c:v>2.5</c:v>
                </c:pt>
                <c:pt idx="20">
                  <c:v>2.1</c:v>
                </c:pt>
                <c:pt idx="21">
                  <c:v>1.9</c:v>
                </c:pt>
                <c:pt idx="22">
                  <c:v>2.6</c:v>
                </c:pt>
                <c:pt idx="23">
                  <c:v>1.8</c:v>
                </c:pt>
                <c:pt idx="24">
                  <c:v>2.8</c:v>
                </c:pt>
                <c:pt idx="25">
                  <c:v>2.2999999999999998</c:v>
                </c:pt>
                <c:pt idx="26">
                  <c:v>2.8</c:v>
                </c:pt>
                <c:pt idx="27">
                  <c:v>2.2999999999999998</c:v>
                </c:pt>
                <c:pt idx="28">
                  <c:v>2.9</c:v>
                </c:pt>
                <c:pt idx="29">
                  <c:v>1.9</c:v>
                </c:pt>
                <c:pt idx="30">
                  <c:v>2</c:v>
                </c:pt>
                <c:pt idx="31">
                  <c:v>2.5</c:v>
                </c:pt>
                <c:pt idx="32">
                  <c:v>2.4</c:v>
                </c:pt>
                <c:pt idx="33">
                  <c:v>2.5</c:v>
                </c:pt>
                <c:pt idx="34">
                  <c:v>2.2000000000000002</c:v>
                </c:pt>
                <c:pt idx="35">
                  <c:v>2.4</c:v>
                </c:pt>
                <c:pt idx="36">
                  <c:v>2.4</c:v>
                </c:pt>
                <c:pt idx="37">
                  <c:v>2.6</c:v>
                </c:pt>
                <c:pt idx="38">
                  <c:v>2.1</c:v>
                </c:pt>
                <c:pt idx="39">
                  <c:v>2.7</c:v>
                </c:pt>
                <c:pt idx="40">
                  <c:v>1.9</c:v>
                </c:pt>
                <c:pt idx="41">
                  <c:v>2.6</c:v>
                </c:pt>
                <c:pt idx="42">
                  <c:v>2.8</c:v>
                </c:pt>
                <c:pt idx="43">
                  <c:v>2.6</c:v>
                </c:pt>
                <c:pt idx="44">
                  <c:v>2</c:v>
                </c:pt>
                <c:pt idx="45">
                  <c:v>2.2000000000000002</c:v>
                </c:pt>
                <c:pt idx="46">
                  <c:v>2</c:v>
                </c:pt>
                <c:pt idx="47">
                  <c:v>2.9</c:v>
                </c:pt>
                <c:pt idx="48">
                  <c:v>2.6</c:v>
                </c:pt>
                <c:pt idx="49">
                  <c:v>2</c:v>
                </c:pt>
                <c:pt idx="50">
                  <c:v>2.1</c:v>
                </c:pt>
                <c:pt idx="51">
                  <c:v>2.2000000000000002</c:v>
                </c:pt>
                <c:pt idx="52">
                  <c:v>2.2999999999999998</c:v>
                </c:pt>
                <c:pt idx="53">
                  <c:v>2.2999999999999998</c:v>
                </c:pt>
                <c:pt idx="54">
                  <c:v>3.3</c:v>
                </c:pt>
                <c:pt idx="55">
                  <c:v>3.2</c:v>
                </c:pt>
                <c:pt idx="56">
                  <c:v>1.9</c:v>
                </c:pt>
                <c:pt idx="57">
                  <c:v>2.9</c:v>
                </c:pt>
                <c:pt idx="58">
                  <c:v>2.1</c:v>
                </c:pt>
                <c:pt idx="59">
                  <c:v>2.6</c:v>
                </c:pt>
                <c:pt idx="60">
                  <c:v>2.1</c:v>
                </c:pt>
                <c:pt idx="61">
                  <c:v>3</c:v>
                </c:pt>
                <c:pt idx="62">
                  <c:v>2.2000000000000002</c:v>
                </c:pt>
                <c:pt idx="63">
                  <c:v>2.8</c:v>
                </c:pt>
                <c:pt idx="64">
                  <c:v>3.2</c:v>
                </c:pt>
                <c:pt idx="65">
                  <c:v>2.5</c:v>
                </c:pt>
                <c:pt idx="66">
                  <c:v>1.9</c:v>
                </c:pt>
                <c:pt idx="67">
                  <c:v>1.9</c:v>
                </c:pt>
                <c:pt idx="68">
                  <c:v>2.1</c:v>
                </c:pt>
                <c:pt idx="69">
                  <c:v>3.1</c:v>
                </c:pt>
                <c:pt idx="70">
                  <c:v>2.4</c:v>
                </c:pt>
                <c:pt idx="71">
                  <c:v>1.9</c:v>
                </c:pt>
                <c:pt idx="72">
                  <c:v>2.7</c:v>
                </c:pt>
                <c:pt idx="73">
                  <c:v>2</c:v>
                </c:pt>
                <c:pt idx="74">
                  <c:v>2.6</c:v>
                </c:pt>
                <c:pt idx="75">
                  <c:v>2.6</c:v>
                </c:pt>
                <c:pt idx="76">
                  <c:v>1.9</c:v>
                </c:pt>
                <c:pt idx="77">
                  <c:v>2.4</c:v>
                </c:pt>
                <c:pt idx="78">
                  <c:v>2.8</c:v>
                </c:pt>
                <c:pt idx="79">
                  <c:v>2.4</c:v>
                </c:pt>
                <c:pt idx="80">
                  <c:v>3.2</c:v>
                </c:pt>
                <c:pt idx="81">
                  <c:v>2.2999999999999998</c:v>
                </c:pt>
                <c:pt idx="82">
                  <c:v>2.2999999999999998</c:v>
                </c:pt>
                <c:pt idx="83">
                  <c:v>2</c:v>
                </c:pt>
                <c:pt idx="84">
                  <c:v>1.9</c:v>
                </c:pt>
                <c:pt idx="85">
                  <c:v>2.2000000000000002</c:v>
                </c:pt>
                <c:pt idx="86">
                  <c:v>2</c:v>
                </c:pt>
                <c:pt idx="87">
                  <c:v>2.8</c:v>
                </c:pt>
                <c:pt idx="88">
                  <c:v>2.2000000000000002</c:v>
                </c:pt>
                <c:pt idx="89">
                  <c:v>2.2999999999999998</c:v>
                </c:pt>
                <c:pt idx="90">
                  <c:v>3.2</c:v>
                </c:pt>
                <c:pt idx="91">
                  <c:v>1.9</c:v>
                </c:pt>
                <c:pt idx="92">
                  <c:v>2.7</c:v>
                </c:pt>
                <c:pt idx="93">
                  <c:v>2.6</c:v>
                </c:pt>
                <c:pt idx="94">
                  <c:v>2.5</c:v>
                </c:pt>
                <c:pt idx="95">
                  <c:v>2.8</c:v>
                </c:pt>
                <c:pt idx="96">
                  <c:v>2.4</c:v>
                </c:pt>
                <c:pt idx="97">
                  <c:v>2.5</c:v>
                </c:pt>
                <c:pt idx="98">
                  <c:v>1.9</c:v>
                </c:pt>
                <c:pt idx="99">
                  <c:v>2.7</c:v>
                </c:pt>
                <c:pt idx="100">
                  <c:v>2.1</c:v>
                </c:pt>
                <c:pt idx="101">
                  <c:v>2.6</c:v>
                </c:pt>
                <c:pt idx="102">
                  <c:v>2.2000000000000002</c:v>
                </c:pt>
                <c:pt idx="103">
                  <c:v>1.9</c:v>
                </c:pt>
                <c:pt idx="104">
                  <c:v>2.4</c:v>
                </c:pt>
                <c:pt idx="105">
                  <c:v>2.1</c:v>
                </c:pt>
                <c:pt idx="106">
                  <c:v>1.9</c:v>
                </c:pt>
                <c:pt idx="107">
                  <c:v>2.1</c:v>
                </c:pt>
                <c:pt idx="108">
                  <c:v>2.8</c:v>
                </c:pt>
                <c:pt idx="109">
                  <c:v>2.4</c:v>
                </c:pt>
                <c:pt idx="110">
                  <c:v>1.9</c:v>
                </c:pt>
                <c:pt idx="111">
                  <c:v>2.6</c:v>
                </c:pt>
                <c:pt idx="112">
                  <c:v>2.7</c:v>
                </c:pt>
                <c:pt idx="113">
                  <c:v>2.8</c:v>
                </c:pt>
                <c:pt idx="114">
                  <c:v>2.6</c:v>
                </c:pt>
                <c:pt idx="115">
                  <c:v>2.5</c:v>
                </c:pt>
                <c:pt idx="116">
                  <c:v>2.4</c:v>
                </c:pt>
                <c:pt idx="117">
                  <c:v>2.2999999999999998</c:v>
                </c:pt>
                <c:pt idx="118">
                  <c:v>3</c:v>
                </c:pt>
                <c:pt idx="119">
                  <c:v>2.4</c:v>
                </c:pt>
                <c:pt idx="120">
                  <c:v>2.2000000000000002</c:v>
                </c:pt>
                <c:pt idx="121">
                  <c:v>2.2999999999999998</c:v>
                </c:pt>
                <c:pt idx="122">
                  <c:v>1.9</c:v>
                </c:pt>
                <c:pt idx="123">
                  <c:v>2.5</c:v>
                </c:pt>
                <c:pt idx="124">
                  <c:v>2.1</c:v>
                </c:pt>
                <c:pt idx="125">
                  <c:v>2.5</c:v>
                </c:pt>
                <c:pt idx="126">
                  <c:v>1.8</c:v>
                </c:pt>
                <c:pt idx="127">
                  <c:v>2.7</c:v>
                </c:pt>
                <c:pt idx="128">
                  <c:v>2.9</c:v>
                </c:pt>
                <c:pt idx="129">
                  <c:v>2.1</c:v>
                </c:pt>
                <c:pt idx="130">
                  <c:v>2.6</c:v>
                </c:pt>
                <c:pt idx="131">
                  <c:v>3.1</c:v>
                </c:pt>
                <c:pt idx="132">
                  <c:v>3.1</c:v>
                </c:pt>
                <c:pt idx="133">
                  <c:v>2.6</c:v>
                </c:pt>
                <c:pt idx="134">
                  <c:v>2.2999999999999998</c:v>
                </c:pt>
                <c:pt idx="135">
                  <c:v>2.7</c:v>
                </c:pt>
                <c:pt idx="136">
                  <c:v>2.4</c:v>
                </c:pt>
                <c:pt idx="137">
                  <c:v>1.9</c:v>
                </c:pt>
                <c:pt idx="138">
                  <c:v>2.6</c:v>
                </c:pt>
                <c:pt idx="139">
                  <c:v>2.2000000000000002</c:v>
                </c:pt>
                <c:pt idx="140">
                  <c:v>2</c:v>
                </c:pt>
                <c:pt idx="141">
                  <c:v>2.1</c:v>
                </c:pt>
                <c:pt idx="142">
                  <c:v>2</c:v>
                </c:pt>
                <c:pt idx="143">
                  <c:v>2.4</c:v>
                </c:pt>
                <c:pt idx="144">
                  <c:v>3.1</c:v>
                </c:pt>
                <c:pt idx="145">
                  <c:v>1.9</c:v>
                </c:pt>
                <c:pt idx="146">
                  <c:v>3</c:v>
                </c:pt>
                <c:pt idx="147">
                  <c:v>1.9</c:v>
                </c:pt>
                <c:pt idx="148">
                  <c:v>2.5</c:v>
                </c:pt>
                <c:pt idx="149">
                  <c:v>2.5</c:v>
                </c:pt>
                <c:pt idx="150">
                  <c:v>2</c:v>
                </c:pt>
                <c:pt idx="151">
                  <c:v>2.8</c:v>
                </c:pt>
                <c:pt idx="152">
                  <c:v>2.1</c:v>
                </c:pt>
                <c:pt idx="153">
                  <c:v>2.7</c:v>
                </c:pt>
                <c:pt idx="154">
                  <c:v>2.7</c:v>
                </c:pt>
                <c:pt idx="155">
                  <c:v>2.1</c:v>
                </c:pt>
                <c:pt idx="156">
                  <c:v>2.6</c:v>
                </c:pt>
                <c:pt idx="157">
                  <c:v>2.6</c:v>
                </c:pt>
                <c:pt idx="158">
                  <c:v>2</c:v>
                </c:pt>
                <c:pt idx="159">
                  <c:v>2.2999999999999998</c:v>
                </c:pt>
                <c:pt idx="160">
                  <c:v>2.5</c:v>
                </c:pt>
                <c:pt idx="161">
                  <c:v>2</c:v>
                </c:pt>
                <c:pt idx="162">
                  <c:v>2.8</c:v>
                </c:pt>
                <c:pt idx="163">
                  <c:v>2.5</c:v>
                </c:pt>
                <c:pt idx="164">
                  <c:v>3.1</c:v>
                </c:pt>
                <c:pt idx="165">
                  <c:v>2.6</c:v>
                </c:pt>
                <c:pt idx="166">
                  <c:v>2</c:v>
                </c:pt>
                <c:pt idx="167">
                  <c:v>2.2000000000000002</c:v>
                </c:pt>
                <c:pt idx="168">
                  <c:v>2.8</c:v>
                </c:pt>
                <c:pt idx="169">
                  <c:v>1.9</c:v>
                </c:pt>
                <c:pt idx="170">
                  <c:v>3.1</c:v>
                </c:pt>
                <c:pt idx="171">
                  <c:v>2.9</c:v>
                </c:pt>
                <c:pt idx="172">
                  <c:v>2.7</c:v>
                </c:pt>
                <c:pt idx="173">
                  <c:v>2.6</c:v>
                </c:pt>
                <c:pt idx="174">
                  <c:v>2.4</c:v>
                </c:pt>
                <c:pt idx="175">
                  <c:v>1.9</c:v>
                </c:pt>
                <c:pt idx="176">
                  <c:v>2.7</c:v>
                </c:pt>
                <c:pt idx="177">
                  <c:v>2.6</c:v>
                </c:pt>
                <c:pt idx="178">
                  <c:v>3.2</c:v>
                </c:pt>
                <c:pt idx="179">
                  <c:v>2.2000000000000002</c:v>
                </c:pt>
                <c:pt idx="180">
                  <c:v>3</c:v>
                </c:pt>
                <c:pt idx="181">
                  <c:v>2.7</c:v>
                </c:pt>
                <c:pt idx="182">
                  <c:v>2.5</c:v>
                </c:pt>
                <c:pt idx="183">
                  <c:v>2</c:v>
                </c:pt>
                <c:pt idx="184">
                  <c:v>3.1</c:v>
                </c:pt>
                <c:pt idx="185">
                  <c:v>2.1</c:v>
                </c:pt>
                <c:pt idx="186">
                  <c:v>2.9</c:v>
                </c:pt>
                <c:pt idx="187">
                  <c:v>2.2000000000000002</c:v>
                </c:pt>
                <c:pt idx="188">
                  <c:v>2.4</c:v>
                </c:pt>
                <c:pt idx="189">
                  <c:v>2</c:v>
                </c:pt>
                <c:pt idx="190">
                  <c:v>3.2</c:v>
                </c:pt>
                <c:pt idx="191">
                  <c:v>2.2000000000000002</c:v>
                </c:pt>
                <c:pt idx="192">
                  <c:v>3</c:v>
                </c:pt>
                <c:pt idx="193">
                  <c:v>2.1</c:v>
                </c:pt>
                <c:pt idx="194">
                  <c:v>2.5</c:v>
                </c:pt>
                <c:pt idx="195">
                  <c:v>3</c:v>
                </c:pt>
                <c:pt idx="196">
                  <c:v>2.7</c:v>
                </c:pt>
                <c:pt idx="197">
                  <c:v>2.5</c:v>
                </c:pt>
                <c:pt idx="198">
                  <c:v>2.6</c:v>
                </c:pt>
                <c:pt idx="199">
                  <c:v>2.8</c:v>
                </c:pt>
                <c:pt idx="200">
                  <c:v>2.6</c:v>
                </c:pt>
                <c:pt idx="201">
                  <c:v>1.8</c:v>
                </c:pt>
                <c:pt idx="202">
                  <c:v>2</c:v>
                </c:pt>
                <c:pt idx="203">
                  <c:v>2.2999999999999998</c:v>
                </c:pt>
                <c:pt idx="204">
                  <c:v>1.9</c:v>
                </c:pt>
                <c:pt idx="205">
                  <c:v>2.1</c:v>
                </c:pt>
                <c:pt idx="206">
                  <c:v>2.5</c:v>
                </c:pt>
                <c:pt idx="207">
                  <c:v>3</c:v>
                </c:pt>
                <c:pt idx="208">
                  <c:v>1.9</c:v>
                </c:pt>
                <c:pt idx="209">
                  <c:v>2.4</c:v>
                </c:pt>
                <c:pt idx="210">
                  <c:v>2.2000000000000002</c:v>
                </c:pt>
                <c:pt idx="211">
                  <c:v>2.5</c:v>
                </c:pt>
                <c:pt idx="212">
                  <c:v>2.7</c:v>
                </c:pt>
                <c:pt idx="213">
                  <c:v>3</c:v>
                </c:pt>
                <c:pt idx="214">
                  <c:v>2</c:v>
                </c:pt>
                <c:pt idx="215">
                  <c:v>1.8</c:v>
                </c:pt>
                <c:pt idx="216">
                  <c:v>2.9</c:v>
                </c:pt>
                <c:pt idx="217">
                  <c:v>2.2999999999999998</c:v>
                </c:pt>
                <c:pt idx="218">
                  <c:v>2.5</c:v>
                </c:pt>
                <c:pt idx="219">
                  <c:v>2.1</c:v>
                </c:pt>
                <c:pt idx="220">
                  <c:v>2.1</c:v>
                </c:pt>
                <c:pt idx="221">
                  <c:v>2.1</c:v>
                </c:pt>
                <c:pt idx="222">
                  <c:v>2</c:v>
                </c:pt>
                <c:pt idx="223">
                  <c:v>1.8</c:v>
                </c:pt>
                <c:pt idx="224">
                  <c:v>2.8</c:v>
                </c:pt>
                <c:pt idx="225">
                  <c:v>3.1</c:v>
                </c:pt>
                <c:pt idx="226">
                  <c:v>2.6</c:v>
                </c:pt>
                <c:pt idx="227">
                  <c:v>3.1</c:v>
                </c:pt>
                <c:pt idx="228">
                  <c:v>2.4</c:v>
                </c:pt>
                <c:pt idx="229">
                  <c:v>2.2999999999999998</c:v>
                </c:pt>
                <c:pt idx="230">
                  <c:v>2.2999999999999998</c:v>
                </c:pt>
                <c:pt idx="231">
                  <c:v>2.9</c:v>
                </c:pt>
                <c:pt idx="232">
                  <c:v>2.6</c:v>
                </c:pt>
                <c:pt idx="233">
                  <c:v>3.2</c:v>
                </c:pt>
                <c:pt idx="234">
                  <c:v>2.5</c:v>
                </c:pt>
                <c:pt idx="235">
                  <c:v>2.8</c:v>
                </c:pt>
                <c:pt idx="236">
                  <c:v>2.1</c:v>
                </c:pt>
                <c:pt idx="237">
                  <c:v>2.7</c:v>
                </c:pt>
                <c:pt idx="238">
                  <c:v>2.2999999999999998</c:v>
                </c:pt>
                <c:pt idx="239">
                  <c:v>2</c:v>
                </c:pt>
                <c:pt idx="240">
                  <c:v>2.4</c:v>
                </c:pt>
                <c:pt idx="241">
                  <c:v>3.1</c:v>
                </c:pt>
                <c:pt idx="242">
                  <c:v>2.9</c:v>
                </c:pt>
                <c:pt idx="243">
                  <c:v>2.2000000000000002</c:v>
                </c:pt>
                <c:pt idx="244">
                  <c:v>3.3</c:v>
                </c:pt>
                <c:pt idx="245">
                  <c:v>2.1</c:v>
                </c:pt>
                <c:pt idx="246">
                  <c:v>2.8</c:v>
                </c:pt>
                <c:pt idx="247">
                  <c:v>3</c:v>
                </c:pt>
                <c:pt idx="248">
                  <c:v>2.7</c:v>
                </c:pt>
                <c:pt idx="249">
                  <c:v>1.9</c:v>
                </c:pt>
                <c:pt idx="250">
                  <c:v>2.2000000000000002</c:v>
                </c:pt>
                <c:pt idx="251">
                  <c:v>2.6</c:v>
                </c:pt>
                <c:pt idx="252">
                  <c:v>1.9</c:v>
                </c:pt>
                <c:pt idx="253">
                  <c:v>2.4</c:v>
                </c:pt>
                <c:pt idx="254">
                  <c:v>2.1</c:v>
                </c:pt>
                <c:pt idx="255">
                  <c:v>2.5</c:v>
                </c:pt>
                <c:pt idx="256">
                  <c:v>2.9</c:v>
                </c:pt>
                <c:pt idx="257">
                  <c:v>2</c:v>
                </c:pt>
                <c:pt idx="258">
                  <c:v>2.7</c:v>
                </c:pt>
                <c:pt idx="259">
                  <c:v>2.2999999999999998</c:v>
                </c:pt>
                <c:pt idx="260">
                  <c:v>2</c:v>
                </c:pt>
                <c:pt idx="261">
                  <c:v>3</c:v>
                </c:pt>
                <c:pt idx="262">
                  <c:v>2.2000000000000002</c:v>
                </c:pt>
                <c:pt idx="263">
                  <c:v>2</c:v>
                </c:pt>
                <c:pt idx="264">
                  <c:v>1.9</c:v>
                </c:pt>
                <c:pt idx="265">
                  <c:v>3</c:v>
                </c:pt>
                <c:pt idx="266">
                  <c:v>2</c:v>
                </c:pt>
                <c:pt idx="267">
                  <c:v>2.4</c:v>
                </c:pt>
                <c:pt idx="268">
                  <c:v>3</c:v>
                </c:pt>
                <c:pt idx="269">
                  <c:v>3.1</c:v>
                </c:pt>
                <c:pt idx="270">
                  <c:v>2</c:v>
                </c:pt>
                <c:pt idx="271">
                  <c:v>1.9</c:v>
                </c:pt>
                <c:pt idx="272">
                  <c:v>2.7</c:v>
                </c:pt>
                <c:pt idx="273">
                  <c:v>2.7</c:v>
                </c:pt>
                <c:pt idx="274">
                  <c:v>2.6</c:v>
                </c:pt>
                <c:pt idx="275">
                  <c:v>2.2999999999999998</c:v>
                </c:pt>
                <c:pt idx="276">
                  <c:v>1.9</c:v>
                </c:pt>
                <c:pt idx="277">
                  <c:v>2.6</c:v>
                </c:pt>
                <c:pt idx="278">
                  <c:v>2</c:v>
                </c:pt>
                <c:pt idx="279">
                  <c:v>2.1</c:v>
                </c:pt>
                <c:pt idx="280">
                  <c:v>2.1</c:v>
                </c:pt>
                <c:pt idx="281">
                  <c:v>3</c:v>
                </c:pt>
                <c:pt idx="282">
                  <c:v>2.6</c:v>
                </c:pt>
                <c:pt idx="283">
                  <c:v>2.4</c:v>
                </c:pt>
                <c:pt idx="284">
                  <c:v>2</c:v>
                </c:pt>
                <c:pt idx="285">
                  <c:v>2.2999999999999998</c:v>
                </c:pt>
                <c:pt idx="286">
                  <c:v>2</c:v>
                </c:pt>
                <c:pt idx="287">
                  <c:v>2.6</c:v>
                </c:pt>
                <c:pt idx="288">
                  <c:v>2.5</c:v>
                </c:pt>
                <c:pt idx="289">
                  <c:v>2.8</c:v>
                </c:pt>
                <c:pt idx="290">
                  <c:v>2.5</c:v>
                </c:pt>
                <c:pt idx="291">
                  <c:v>1.8</c:v>
                </c:pt>
                <c:pt idx="292">
                  <c:v>2.1</c:v>
                </c:pt>
                <c:pt idx="293">
                  <c:v>2.2999999999999998</c:v>
                </c:pt>
                <c:pt idx="294">
                  <c:v>3.1</c:v>
                </c:pt>
                <c:pt idx="295">
                  <c:v>2</c:v>
                </c:pt>
                <c:pt idx="296">
                  <c:v>2.2000000000000002</c:v>
                </c:pt>
                <c:pt idx="297">
                  <c:v>3.2</c:v>
                </c:pt>
                <c:pt idx="298">
                  <c:v>2.2999999999999998</c:v>
                </c:pt>
                <c:pt idx="299">
                  <c:v>2.5</c:v>
                </c:pt>
                <c:pt idx="300">
                  <c:v>2.6</c:v>
                </c:pt>
                <c:pt idx="301">
                  <c:v>3.2</c:v>
                </c:pt>
                <c:pt idx="302">
                  <c:v>1.9</c:v>
                </c:pt>
                <c:pt idx="303">
                  <c:v>2</c:v>
                </c:pt>
                <c:pt idx="304">
                  <c:v>2.7</c:v>
                </c:pt>
                <c:pt idx="305">
                  <c:v>2.8</c:v>
                </c:pt>
                <c:pt idx="306">
                  <c:v>2.6</c:v>
                </c:pt>
                <c:pt idx="307">
                  <c:v>2.1</c:v>
                </c:pt>
                <c:pt idx="308">
                  <c:v>2.5</c:v>
                </c:pt>
                <c:pt idx="309">
                  <c:v>2.4</c:v>
                </c:pt>
                <c:pt idx="310">
                  <c:v>2.1</c:v>
                </c:pt>
                <c:pt idx="311">
                  <c:v>2.2999999999999998</c:v>
                </c:pt>
                <c:pt idx="312">
                  <c:v>2.4</c:v>
                </c:pt>
                <c:pt idx="313">
                  <c:v>3.1</c:v>
                </c:pt>
                <c:pt idx="314">
                  <c:v>2</c:v>
                </c:pt>
                <c:pt idx="315">
                  <c:v>2.2999999999999998</c:v>
                </c:pt>
                <c:pt idx="316">
                  <c:v>2.1</c:v>
                </c:pt>
                <c:pt idx="317">
                  <c:v>3.1</c:v>
                </c:pt>
                <c:pt idx="318">
                  <c:v>1.8</c:v>
                </c:pt>
                <c:pt idx="319">
                  <c:v>3.2</c:v>
                </c:pt>
                <c:pt idx="320">
                  <c:v>2.5</c:v>
                </c:pt>
                <c:pt idx="321">
                  <c:v>2.5</c:v>
                </c:pt>
                <c:pt idx="322">
                  <c:v>2.5</c:v>
                </c:pt>
                <c:pt idx="323">
                  <c:v>3.1</c:v>
                </c:pt>
                <c:pt idx="324">
                  <c:v>2</c:v>
                </c:pt>
                <c:pt idx="325">
                  <c:v>3.2</c:v>
                </c:pt>
                <c:pt idx="326">
                  <c:v>2.9</c:v>
                </c:pt>
                <c:pt idx="327">
                  <c:v>2.6</c:v>
                </c:pt>
                <c:pt idx="328">
                  <c:v>3.2</c:v>
                </c:pt>
                <c:pt idx="329">
                  <c:v>2.5</c:v>
                </c:pt>
                <c:pt idx="330">
                  <c:v>1.9</c:v>
                </c:pt>
                <c:pt idx="331">
                  <c:v>2.6</c:v>
                </c:pt>
                <c:pt idx="332">
                  <c:v>2.1</c:v>
                </c:pt>
                <c:pt idx="333">
                  <c:v>2.4</c:v>
                </c:pt>
                <c:pt idx="334">
                  <c:v>3.2</c:v>
                </c:pt>
                <c:pt idx="335">
                  <c:v>2.6</c:v>
                </c:pt>
                <c:pt idx="336">
                  <c:v>2.7</c:v>
                </c:pt>
                <c:pt idx="337">
                  <c:v>1.9</c:v>
                </c:pt>
                <c:pt idx="338">
                  <c:v>2.2000000000000002</c:v>
                </c:pt>
                <c:pt idx="339">
                  <c:v>3</c:v>
                </c:pt>
                <c:pt idx="340">
                  <c:v>3.2</c:v>
                </c:pt>
                <c:pt idx="341">
                  <c:v>2.4</c:v>
                </c:pt>
                <c:pt idx="342">
                  <c:v>3</c:v>
                </c:pt>
                <c:pt idx="343">
                  <c:v>1.9</c:v>
                </c:pt>
                <c:pt idx="344">
                  <c:v>2.1</c:v>
                </c:pt>
                <c:pt idx="345">
                  <c:v>3.1</c:v>
                </c:pt>
                <c:pt idx="346">
                  <c:v>3.1</c:v>
                </c:pt>
                <c:pt idx="347">
                  <c:v>3.2</c:v>
                </c:pt>
                <c:pt idx="348">
                  <c:v>2.2000000000000002</c:v>
                </c:pt>
                <c:pt idx="349">
                  <c:v>2.2000000000000002</c:v>
                </c:pt>
                <c:pt idx="350">
                  <c:v>1.9</c:v>
                </c:pt>
                <c:pt idx="351">
                  <c:v>2.8</c:v>
                </c:pt>
                <c:pt idx="352">
                  <c:v>2</c:v>
                </c:pt>
                <c:pt idx="353">
                  <c:v>2.6</c:v>
                </c:pt>
                <c:pt idx="354">
                  <c:v>2.2999999999999998</c:v>
                </c:pt>
                <c:pt idx="355">
                  <c:v>1.9</c:v>
                </c:pt>
                <c:pt idx="356">
                  <c:v>2.1</c:v>
                </c:pt>
                <c:pt idx="357">
                  <c:v>1.9</c:v>
                </c:pt>
                <c:pt idx="358">
                  <c:v>2.2000000000000002</c:v>
                </c:pt>
                <c:pt idx="359">
                  <c:v>3</c:v>
                </c:pt>
                <c:pt idx="360">
                  <c:v>3.2</c:v>
                </c:pt>
                <c:pt idx="361">
                  <c:v>2.1</c:v>
                </c:pt>
                <c:pt idx="362">
                  <c:v>2.7</c:v>
                </c:pt>
                <c:pt idx="363">
                  <c:v>3</c:v>
                </c:pt>
                <c:pt idx="364">
                  <c:v>2.7</c:v>
                </c:pt>
                <c:pt idx="365">
                  <c:v>2.2000000000000002</c:v>
                </c:pt>
                <c:pt idx="366">
                  <c:v>2.1</c:v>
                </c:pt>
                <c:pt idx="367">
                  <c:v>1.9</c:v>
                </c:pt>
                <c:pt idx="368">
                  <c:v>2.2000000000000002</c:v>
                </c:pt>
                <c:pt idx="369">
                  <c:v>2.4</c:v>
                </c:pt>
                <c:pt idx="370">
                  <c:v>3</c:v>
                </c:pt>
                <c:pt idx="371">
                  <c:v>2.4</c:v>
                </c:pt>
                <c:pt idx="372">
                  <c:v>2.1</c:v>
                </c:pt>
                <c:pt idx="373">
                  <c:v>2.5</c:v>
                </c:pt>
                <c:pt idx="374">
                  <c:v>2.8</c:v>
                </c:pt>
                <c:pt idx="375">
                  <c:v>2.6</c:v>
                </c:pt>
                <c:pt idx="376">
                  <c:v>2.2999999999999998</c:v>
                </c:pt>
                <c:pt idx="377">
                  <c:v>3</c:v>
                </c:pt>
                <c:pt idx="378">
                  <c:v>3</c:v>
                </c:pt>
                <c:pt idx="379">
                  <c:v>1.9</c:v>
                </c:pt>
                <c:pt idx="380">
                  <c:v>2.6</c:v>
                </c:pt>
                <c:pt idx="381">
                  <c:v>3.2</c:v>
                </c:pt>
                <c:pt idx="382">
                  <c:v>1.9</c:v>
                </c:pt>
                <c:pt idx="383">
                  <c:v>2.7</c:v>
                </c:pt>
                <c:pt idx="384">
                  <c:v>1.8</c:v>
                </c:pt>
                <c:pt idx="385">
                  <c:v>2.2999999999999998</c:v>
                </c:pt>
                <c:pt idx="386">
                  <c:v>2.8</c:v>
                </c:pt>
                <c:pt idx="387">
                  <c:v>2.6</c:v>
                </c:pt>
                <c:pt idx="388">
                  <c:v>3.2</c:v>
                </c:pt>
                <c:pt idx="389">
                  <c:v>1.9</c:v>
                </c:pt>
                <c:pt idx="390">
                  <c:v>2.6</c:v>
                </c:pt>
                <c:pt idx="391">
                  <c:v>1.9</c:v>
                </c:pt>
                <c:pt idx="392">
                  <c:v>2.4</c:v>
                </c:pt>
                <c:pt idx="393">
                  <c:v>2.8</c:v>
                </c:pt>
                <c:pt idx="394">
                  <c:v>2.7</c:v>
                </c:pt>
                <c:pt idx="395">
                  <c:v>2.1</c:v>
                </c:pt>
                <c:pt idx="396">
                  <c:v>2.2999999999999998</c:v>
                </c:pt>
                <c:pt idx="397">
                  <c:v>2.4</c:v>
                </c:pt>
                <c:pt idx="398">
                  <c:v>2.6</c:v>
                </c:pt>
                <c:pt idx="399">
                  <c:v>2.6</c:v>
                </c:pt>
                <c:pt idx="400">
                  <c:v>2.7</c:v>
                </c:pt>
                <c:pt idx="401">
                  <c:v>2.2000000000000002</c:v>
                </c:pt>
                <c:pt idx="402">
                  <c:v>2.4</c:v>
                </c:pt>
                <c:pt idx="403">
                  <c:v>2.6</c:v>
                </c:pt>
                <c:pt idx="404">
                  <c:v>2.7</c:v>
                </c:pt>
                <c:pt idx="405">
                  <c:v>2.6</c:v>
                </c:pt>
                <c:pt idx="406">
                  <c:v>2.5</c:v>
                </c:pt>
                <c:pt idx="407">
                  <c:v>3.3</c:v>
                </c:pt>
                <c:pt idx="408">
                  <c:v>2.6</c:v>
                </c:pt>
                <c:pt idx="409">
                  <c:v>2.2999999999999998</c:v>
                </c:pt>
                <c:pt idx="410">
                  <c:v>2.2999999999999998</c:v>
                </c:pt>
                <c:pt idx="411">
                  <c:v>2</c:v>
                </c:pt>
                <c:pt idx="412">
                  <c:v>2.6</c:v>
                </c:pt>
                <c:pt idx="413">
                  <c:v>2.4</c:v>
                </c:pt>
                <c:pt idx="414">
                  <c:v>2.9</c:v>
                </c:pt>
                <c:pt idx="415">
                  <c:v>2.6</c:v>
                </c:pt>
                <c:pt idx="416">
                  <c:v>1.9</c:v>
                </c:pt>
                <c:pt idx="417">
                  <c:v>1.9</c:v>
                </c:pt>
                <c:pt idx="418">
                  <c:v>2</c:v>
                </c:pt>
                <c:pt idx="419">
                  <c:v>1.9</c:v>
                </c:pt>
                <c:pt idx="420">
                  <c:v>1.9</c:v>
                </c:pt>
                <c:pt idx="421">
                  <c:v>1.9</c:v>
                </c:pt>
                <c:pt idx="422">
                  <c:v>3</c:v>
                </c:pt>
                <c:pt idx="423">
                  <c:v>2.1</c:v>
                </c:pt>
                <c:pt idx="424">
                  <c:v>2.7</c:v>
                </c:pt>
                <c:pt idx="425">
                  <c:v>2.4</c:v>
                </c:pt>
                <c:pt idx="426">
                  <c:v>2.2999999999999998</c:v>
                </c:pt>
                <c:pt idx="427">
                  <c:v>2.2000000000000002</c:v>
                </c:pt>
                <c:pt idx="428">
                  <c:v>2</c:v>
                </c:pt>
                <c:pt idx="429">
                  <c:v>2.7</c:v>
                </c:pt>
                <c:pt idx="430">
                  <c:v>2.4</c:v>
                </c:pt>
                <c:pt idx="431">
                  <c:v>3.1</c:v>
                </c:pt>
                <c:pt idx="432">
                  <c:v>2.1</c:v>
                </c:pt>
                <c:pt idx="433">
                  <c:v>3</c:v>
                </c:pt>
                <c:pt idx="434">
                  <c:v>1.9</c:v>
                </c:pt>
                <c:pt idx="435">
                  <c:v>2.2999999999999998</c:v>
                </c:pt>
                <c:pt idx="436">
                  <c:v>2.5</c:v>
                </c:pt>
                <c:pt idx="437">
                  <c:v>2</c:v>
                </c:pt>
                <c:pt idx="438">
                  <c:v>2.1</c:v>
                </c:pt>
                <c:pt idx="439">
                  <c:v>2.5</c:v>
                </c:pt>
                <c:pt idx="440">
                  <c:v>2.5</c:v>
                </c:pt>
                <c:pt idx="441">
                  <c:v>3</c:v>
                </c:pt>
                <c:pt idx="442">
                  <c:v>2.5</c:v>
                </c:pt>
                <c:pt idx="443">
                  <c:v>2.5</c:v>
                </c:pt>
                <c:pt idx="444">
                  <c:v>2</c:v>
                </c:pt>
                <c:pt idx="445">
                  <c:v>2.4</c:v>
                </c:pt>
                <c:pt idx="446">
                  <c:v>3.1</c:v>
                </c:pt>
                <c:pt idx="447">
                  <c:v>3.1</c:v>
                </c:pt>
                <c:pt idx="448">
                  <c:v>2.2000000000000002</c:v>
                </c:pt>
                <c:pt idx="449">
                  <c:v>1.8</c:v>
                </c:pt>
                <c:pt idx="450">
                  <c:v>2.5</c:v>
                </c:pt>
                <c:pt idx="451">
                  <c:v>3</c:v>
                </c:pt>
                <c:pt idx="452">
                  <c:v>2.8</c:v>
                </c:pt>
                <c:pt idx="453">
                  <c:v>2.2999999999999998</c:v>
                </c:pt>
                <c:pt idx="454">
                  <c:v>2.7</c:v>
                </c:pt>
                <c:pt idx="455">
                  <c:v>3</c:v>
                </c:pt>
                <c:pt idx="456">
                  <c:v>2.4</c:v>
                </c:pt>
                <c:pt idx="457">
                  <c:v>1.9</c:v>
                </c:pt>
                <c:pt idx="458">
                  <c:v>2.1</c:v>
                </c:pt>
                <c:pt idx="459">
                  <c:v>3.1</c:v>
                </c:pt>
                <c:pt idx="460">
                  <c:v>2.2000000000000002</c:v>
                </c:pt>
                <c:pt idx="461">
                  <c:v>2.1</c:v>
                </c:pt>
                <c:pt idx="462">
                  <c:v>3.2</c:v>
                </c:pt>
                <c:pt idx="463">
                  <c:v>2.4</c:v>
                </c:pt>
                <c:pt idx="464">
                  <c:v>2.1</c:v>
                </c:pt>
                <c:pt idx="465">
                  <c:v>2.7</c:v>
                </c:pt>
                <c:pt idx="466">
                  <c:v>2.2999999999999998</c:v>
                </c:pt>
                <c:pt idx="467">
                  <c:v>2.7</c:v>
                </c:pt>
                <c:pt idx="468">
                  <c:v>3.2</c:v>
                </c:pt>
                <c:pt idx="469">
                  <c:v>2.1</c:v>
                </c:pt>
                <c:pt idx="470">
                  <c:v>2.2000000000000002</c:v>
                </c:pt>
                <c:pt idx="471">
                  <c:v>2.6</c:v>
                </c:pt>
                <c:pt idx="472">
                  <c:v>2.1</c:v>
                </c:pt>
                <c:pt idx="473">
                  <c:v>2.1</c:v>
                </c:pt>
                <c:pt idx="474">
                  <c:v>2.5</c:v>
                </c:pt>
                <c:pt idx="475">
                  <c:v>2.8</c:v>
                </c:pt>
                <c:pt idx="476">
                  <c:v>2.2999999999999998</c:v>
                </c:pt>
                <c:pt idx="477">
                  <c:v>3</c:v>
                </c:pt>
                <c:pt idx="478">
                  <c:v>2.1</c:v>
                </c:pt>
                <c:pt idx="479">
                  <c:v>2.2000000000000002</c:v>
                </c:pt>
                <c:pt idx="480">
                  <c:v>2.4</c:v>
                </c:pt>
                <c:pt idx="481">
                  <c:v>2.5</c:v>
                </c:pt>
                <c:pt idx="482">
                  <c:v>2</c:v>
                </c:pt>
                <c:pt idx="483">
                  <c:v>2.7</c:v>
                </c:pt>
                <c:pt idx="484">
                  <c:v>2.8</c:v>
                </c:pt>
                <c:pt idx="485">
                  <c:v>1.9</c:v>
                </c:pt>
                <c:pt idx="486">
                  <c:v>3.2</c:v>
                </c:pt>
                <c:pt idx="487">
                  <c:v>2.7</c:v>
                </c:pt>
                <c:pt idx="488">
                  <c:v>2.2000000000000002</c:v>
                </c:pt>
                <c:pt idx="489">
                  <c:v>2.5</c:v>
                </c:pt>
                <c:pt idx="490">
                  <c:v>2.2000000000000002</c:v>
                </c:pt>
                <c:pt idx="491">
                  <c:v>2.9</c:v>
                </c:pt>
                <c:pt idx="492">
                  <c:v>2.2999999999999998</c:v>
                </c:pt>
                <c:pt idx="493">
                  <c:v>2.1</c:v>
                </c:pt>
                <c:pt idx="494">
                  <c:v>3.1</c:v>
                </c:pt>
                <c:pt idx="495">
                  <c:v>2.2000000000000002</c:v>
                </c:pt>
                <c:pt idx="496">
                  <c:v>2.1</c:v>
                </c:pt>
                <c:pt idx="497">
                  <c:v>2.6</c:v>
                </c:pt>
                <c:pt idx="498">
                  <c:v>2.5</c:v>
                </c:pt>
                <c:pt idx="499">
                  <c:v>2.5</c:v>
                </c:pt>
                <c:pt idx="500">
                  <c:v>2.5</c:v>
                </c:pt>
                <c:pt idx="501">
                  <c:v>2.2999999999999998</c:v>
                </c:pt>
                <c:pt idx="502">
                  <c:v>3.1</c:v>
                </c:pt>
                <c:pt idx="503">
                  <c:v>2.6</c:v>
                </c:pt>
                <c:pt idx="504">
                  <c:v>3.1</c:v>
                </c:pt>
                <c:pt idx="505">
                  <c:v>3.2</c:v>
                </c:pt>
                <c:pt idx="506">
                  <c:v>2</c:v>
                </c:pt>
                <c:pt idx="507">
                  <c:v>2.6</c:v>
                </c:pt>
                <c:pt idx="508">
                  <c:v>2.7</c:v>
                </c:pt>
                <c:pt idx="509">
                  <c:v>2.2000000000000002</c:v>
                </c:pt>
                <c:pt idx="510">
                  <c:v>2.1</c:v>
                </c:pt>
                <c:pt idx="511">
                  <c:v>2.6</c:v>
                </c:pt>
                <c:pt idx="512">
                  <c:v>3.2</c:v>
                </c:pt>
                <c:pt idx="513">
                  <c:v>2</c:v>
                </c:pt>
                <c:pt idx="514">
                  <c:v>3.1</c:v>
                </c:pt>
                <c:pt idx="515">
                  <c:v>1.9</c:v>
                </c:pt>
                <c:pt idx="516">
                  <c:v>1.9</c:v>
                </c:pt>
                <c:pt idx="517">
                  <c:v>2.9</c:v>
                </c:pt>
                <c:pt idx="518">
                  <c:v>2.2999999999999998</c:v>
                </c:pt>
                <c:pt idx="519">
                  <c:v>2</c:v>
                </c:pt>
                <c:pt idx="520">
                  <c:v>2.7</c:v>
                </c:pt>
                <c:pt idx="521">
                  <c:v>2.4</c:v>
                </c:pt>
                <c:pt idx="522">
                  <c:v>2.9</c:v>
                </c:pt>
                <c:pt idx="523">
                  <c:v>2.8</c:v>
                </c:pt>
                <c:pt idx="524">
                  <c:v>2.5</c:v>
                </c:pt>
                <c:pt idx="525">
                  <c:v>2.2000000000000002</c:v>
                </c:pt>
                <c:pt idx="526">
                  <c:v>2</c:v>
                </c:pt>
                <c:pt idx="527">
                  <c:v>2.2000000000000002</c:v>
                </c:pt>
                <c:pt idx="528">
                  <c:v>1.9</c:v>
                </c:pt>
                <c:pt idx="529">
                  <c:v>1.9</c:v>
                </c:pt>
                <c:pt idx="530">
                  <c:v>2.2000000000000002</c:v>
                </c:pt>
                <c:pt idx="531">
                  <c:v>2.4</c:v>
                </c:pt>
                <c:pt idx="532">
                  <c:v>2</c:v>
                </c:pt>
                <c:pt idx="533">
                  <c:v>2.6</c:v>
                </c:pt>
                <c:pt idx="534">
                  <c:v>2.1</c:v>
                </c:pt>
                <c:pt idx="535">
                  <c:v>2.8</c:v>
                </c:pt>
                <c:pt idx="536">
                  <c:v>2</c:v>
                </c:pt>
                <c:pt idx="537">
                  <c:v>2.1</c:v>
                </c:pt>
                <c:pt idx="538">
                  <c:v>2.5</c:v>
                </c:pt>
                <c:pt idx="539">
                  <c:v>2.9</c:v>
                </c:pt>
                <c:pt idx="540">
                  <c:v>2.6</c:v>
                </c:pt>
                <c:pt idx="541">
                  <c:v>2.6</c:v>
                </c:pt>
                <c:pt idx="542">
                  <c:v>1.9</c:v>
                </c:pt>
                <c:pt idx="543">
                  <c:v>2.2000000000000002</c:v>
                </c:pt>
                <c:pt idx="544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12D-0E4F-8BE1-BD802E64C152}"/>
            </c:ext>
          </c:extLst>
        </c:ser>
        <c:ser>
          <c:idx val="2"/>
          <c:order val="2"/>
          <c:tx>
            <c:strRef>
              <c:f>Cleaned_Data!$L$1</c:f>
              <c:strCache>
                <c:ptCount val="1"/>
                <c:pt idx="0">
                  <c:v>Current_Sem_CGPA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Cleaned_Data!$L$2:$L$557</c:f>
              <c:numCache>
                <c:formatCode>General</c:formatCode>
                <c:ptCount val="556"/>
                <c:pt idx="0">
                  <c:v>7.92</c:v>
                </c:pt>
                <c:pt idx="1">
                  <c:v>6.87</c:v>
                </c:pt>
                <c:pt idx="2">
                  <c:v>6.3</c:v>
                </c:pt>
                <c:pt idx="3">
                  <c:v>6.97</c:v>
                </c:pt>
                <c:pt idx="4">
                  <c:v>6.86</c:v>
                </c:pt>
                <c:pt idx="5">
                  <c:v>9.68</c:v>
                </c:pt>
                <c:pt idx="6">
                  <c:v>9.17</c:v>
                </c:pt>
                <c:pt idx="7">
                  <c:v>8.58</c:v>
                </c:pt>
                <c:pt idx="8">
                  <c:v>7.46</c:v>
                </c:pt>
                <c:pt idx="9">
                  <c:v>6.28</c:v>
                </c:pt>
                <c:pt idx="10">
                  <c:v>8.4499999999999993</c:v>
                </c:pt>
                <c:pt idx="11">
                  <c:v>7.14</c:v>
                </c:pt>
                <c:pt idx="12">
                  <c:v>6.5</c:v>
                </c:pt>
                <c:pt idx="13">
                  <c:v>6.53</c:v>
                </c:pt>
                <c:pt idx="14">
                  <c:v>9.5299999999999994</c:v>
                </c:pt>
                <c:pt idx="15">
                  <c:v>7.6</c:v>
                </c:pt>
                <c:pt idx="16">
                  <c:v>7.26</c:v>
                </c:pt>
                <c:pt idx="17">
                  <c:v>7.73</c:v>
                </c:pt>
                <c:pt idx="18">
                  <c:v>6.12</c:v>
                </c:pt>
                <c:pt idx="19">
                  <c:v>7.45</c:v>
                </c:pt>
                <c:pt idx="20">
                  <c:v>6.31</c:v>
                </c:pt>
                <c:pt idx="21">
                  <c:v>5.74</c:v>
                </c:pt>
                <c:pt idx="22">
                  <c:v>7.89</c:v>
                </c:pt>
                <c:pt idx="23">
                  <c:v>5.51</c:v>
                </c:pt>
                <c:pt idx="24">
                  <c:v>8.48</c:v>
                </c:pt>
                <c:pt idx="25">
                  <c:v>6.88</c:v>
                </c:pt>
                <c:pt idx="26">
                  <c:v>8.3699999999999992</c:v>
                </c:pt>
                <c:pt idx="27">
                  <c:v>6.84</c:v>
                </c:pt>
                <c:pt idx="28">
                  <c:v>8.7799999999999994</c:v>
                </c:pt>
                <c:pt idx="29">
                  <c:v>5.81</c:v>
                </c:pt>
                <c:pt idx="30">
                  <c:v>6.02</c:v>
                </c:pt>
                <c:pt idx="31">
                  <c:v>7.63</c:v>
                </c:pt>
                <c:pt idx="32">
                  <c:v>7.07</c:v>
                </c:pt>
                <c:pt idx="33">
                  <c:v>7.42</c:v>
                </c:pt>
                <c:pt idx="34">
                  <c:v>6.64</c:v>
                </c:pt>
                <c:pt idx="35">
                  <c:v>7.09</c:v>
                </c:pt>
                <c:pt idx="36">
                  <c:v>7.21</c:v>
                </c:pt>
                <c:pt idx="37">
                  <c:v>7.87</c:v>
                </c:pt>
                <c:pt idx="38">
                  <c:v>6.29</c:v>
                </c:pt>
                <c:pt idx="39">
                  <c:v>8.1199999999999992</c:v>
                </c:pt>
                <c:pt idx="40">
                  <c:v>5.73</c:v>
                </c:pt>
                <c:pt idx="41">
                  <c:v>7.82</c:v>
                </c:pt>
                <c:pt idx="42">
                  <c:v>8.2899999999999991</c:v>
                </c:pt>
                <c:pt idx="43">
                  <c:v>7.75</c:v>
                </c:pt>
                <c:pt idx="44">
                  <c:v>5.87</c:v>
                </c:pt>
                <c:pt idx="45">
                  <c:v>6.74</c:v>
                </c:pt>
                <c:pt idx="46">
                  <c:v>6.06</c:v>
                </c:pt>
                <c:pt idx="47">
                  <c:v>8.57</c:v>
                </c:pt>
                <c:pt idx="48">
                  <c:v>7.81</c:v>
                </c:pt>
                <c:pt idx="49">
                  <c:v>5.97</c:v>
                </c:pt>
                <c:pt idx="50">
                  <c:v>6.41</c:v>
                </c:pt>
                <c:pt idx="51">
                  <c:v>6.63</c:v>
                </c:pt>
                <c:pt idx="52">
                  <c:v>7.03</c:v>
                </c:pt>
                <c:pt idx="53">
                  <c:v>6.91</c:v>
                </c:pt>
                <c:pt idx="54">
                  <c:v>9.76</c:v>
                </c:pt>
                <c:pt idx="55">
                  <c:v>9.4499999999999993</c:v>
                </c:pt>
                <c:pt idx="56">
                  <c:v>5.78</c:v>
                </c:pt>
                <c:pt idx="57">
                  <c:v>8.6199999999999992</c:v>
                </c:pt>
                <c:pt idx="58">
                  <c:v>6.17</c:v>
                </c:pt>
                <c:pt idx="59">
                  <c:v>7.69</c:v>
                </c:pt>
                <c:pt idx="60">
                  <c:v>6.4</c:v>
                </c:pt>
                <c:pt idx="61">
                  <c:v>8.9</c:v>
                </c:pt>
                <c:pt idx="62">
                  <c:v>6.46</c:v>
                </c:pt>
                <c:pt idx="63">
                  <c:v>8.51</c:v>
                </c:pt>
                <c:pt idx="64">
                  <c:v>9.51</c:v>
                </c:pt>
                <c:pt idx="65">
                  <c:v>7.36</c:v>
                </c:pt>
                <c:pt idx="66">
                  <c:v>5.84</c:v>
                </c:pt>
                <c:pt idx="67">
                  <c:v>5.71</c:v>
                </c:pt>
                <c:pt idx="68">
                  <c:v>6.33</c:v>
                </c:pt>
                <c:pt idx="69">
                  <c:v>9.42</c:v>
                </c:pt>
                <c:pt idx="70">
                  <c:v>7.05</c:v>
                </c:pt>
                <c:pt idx="71">
                  <c:v>5.59</c:v>
                </c:pt>
                <c:pt idx="72">
                  <c:v>8.0399999999999991</c:v>
                </c:pt>
                <c:pt idx="73">
                  <c:v>5.87</c:v>
                </c:pt>
                <c:pt idx="74">
                  <c:v>7.68</c:v>
                </c:pt>
                <c:pt idx="75">
                  <c:v>7.92</c:v>
                </c:pt>
                <c:pt idx="76">
                  <c:v>5.81</c:v>
                </c:pt>
                <c:pt idx="77">
                  <c:v>7.16</c:v>
                </c:pt>
                <c:pt idx="78">
                  <c:v>8.44</c:v>
                </c:pt>
                <c:pt idx="79">
                  <c:v>7.34</c:v>
                </c:pt>
                <c:pt idx="80">
                  <c:v>9.69</c:v>
                </c:pt>
                <c:pt idx="81">
                  <c:v>6.79</c:v>
                </c:pt>
                <c:pt idx="82">
                  <c:v>6.94</c:v>
                </c:pt>
                <c:pt idx="83">
                  <c:v>6.05</c:v>
                </c:pt>
                <c:pt idx="84">
                  <c:v>5.61</c:v>
                </c:pt>
                <c:pt idx="85">
                  <c:v>6.64</c:v>
                </c:pt>
                <c:pt idx="86">
                  <c:v>5.99</c:v>
                </c:pt>
                <c:pt idx="87">
                  <c:v>8.4600000000000009</c:v>
                </c:pt>
                <c:pt idx="88">
                  <c:v>6.57</c:v>
                </c:pt>
                <c:pt idx="89">
                  <c:v>6.9</c:v>
                </c:pt>
                <c:pt idx="90">
                  <c:v>9.74</c:v>
                </c:pt>
                <c:pt idx="91">
                  <c:v>5.6</c:v>
                </c:pt>
                <c:pt idx="92">
                  <c:v>8.23</c:v>
                </c:pt>
                <c:pt idx="93">
                  <c:v>7.88</c:v>
                </c:pt>
                <c:pt idx="94">
                  <c:v>7.54</c:v>
                </c:pt>
                <c:pt idx="95">
                  <c:v>8.33</c:v>
                </c:pt>
                <c:pt idx="96">
                  <c:v>7.17</c:v>
                </c:pt>
                <c:pt idx="97">
                  <c:v>7.5</c:v>
                </c:pt>
                <c:pt idx="98">
                  <c:v>5.56</c:v>
                </c:pt>
                <c:pt idx="99">
                  <c:v>7.98</c:v>
                </c:pt>
                <c:pt idx="100">
                  <c:v>6.24</c:v>
                </c:pt>
                <c:pt idx="101">
                  <c:v>7.91</c:v>
                </c:pt>
                <c:pt idx="102">
                  <c:v>6.69</c:v>
                </c:pt>
                <c:pt idx="103">
                  <c:v>5.82</c:v>
                </c:pt>
                <c:pt idx="104">
                  <c:v>7.07</c:v>
                </c:pt>
                <c:pt idx="105">
                  <c:v>6.18</c:v>
                </c:pt>
                <c:pt idx="106">
                  <c:v>5.61</c:v>
                </c:pt>
                <c:pt idx="107">
                  <c:v>6.33</c:v>
                </c:pt>
                <c:pt idx="108">
                  <c:v>8.5</c:v>
                </c:pt>
                <c:pt idx="109">
                  <c:v>7.34</c:v>
                </c:pt>
                <c:pt idx="110">
                  <c:v>5.69</c:v>
                </c:pt>
                <c:pt idx="111">
                  <c:v>7.89</c:v>
                </c:pt>
                <c:pt idx="112">
                  <c:v>8.06</c:v>
                </c:pt>
                <c:pt idx="113">
                  <c:v>8.49</c:v>
                </c:pt>
                <c:pt idx="114">
                  <c:v>7.88</c:v>
                </c:pt>
                <c:pt idx="115">
                  <c:v>7.44</c:v>
                </c:pt>
                <c:pt idx="116">
                  <c:v>7.19</c:v>
                </c:pt>
                <c:pt idx="117">
                  <c:v>6.99</c:v>
                </c:pt>
                <c:pt idx="118">
                  <c:v>8.99</c:v>
                </c:pt>
                <c:pt idx="119">
                  <c:v>7.24</c:v>
                </c:pt>
                <c:pt idx="120">
                  <c:v>6.66</c:v>
                </c:pt>
                <c:pt idx="121">
                  <c:v>6.93</c:v>
                </c:pt>
                <c:pt idx="122">
                  <c:v>5.62</c:v>
                </c:pt>
                <c:pt idx="123">
                  <c:v>7.61</c:v>
                </c:pt>
                <c:pt idx="124">
                  <c:v>6.23</c:v>
                </c:pt>
                <c:pt idx="125">
                  <c:v>7.58</c:v>
                </c:pt>
                <c:pt idx="126">
                  <c:v>5.51</c:v>
                </c:pt>
                <c:pt idx="127">
                  <c:v>8.17</c:v>
                </c:pt>
                <c:pt idx="128">
                  <c:v>8.85</c:v>
                </c:pt>
                <c:pt idx="129">
                  <c:v>6.25</c:v>
                </c:pt>
                <c:pt idx="130">
                  <c:v>7.67</c:v>
                </c:pt>
                <c:pt idx="131">
                  <c:v>9.34</c:v>
                </c:pt>
                <c:pt idx="132">
                  <c:v>9.27</c:v>
                </c:pt>
                <c:pt idx="133">
                  <c:v>7.92</c:v>
                </c:pt>
                <c:pt idx="134">
                  <c:v>6.96</c:v>
                </c:pt>
                <c:pt idx="135">
                  <c:v>8.08</c:v>
                </c:pt>
                <c:pt idx="136">
                  <c:v>7.22</c:v>
                </c:pt>
                <c:pt idx="137">
                  <c:v>5.77</c:v>
                </c:pt>
                <c:pt idx="138">
                  <c:v>7.81</c:v>
                </c:pt>
                <c:pt idx="139">
                  <c:v>6.57</c:v>
                </c:pt>
                <c:pt idx="140">
                  <c:v>6.01</c:v>
                </c:pt>
                <c:pt idx="141">
                  <c:v>6.31</c:v>
                </c:pt>
                <c:pt idx="142">
                  <c:v>6</c:v>
                </c:pt>
                <c:pt idx="143">
                  <c:v>7.32</c:v>
                </c:pt>
                <c:pt idx="144">
                  <c:v>9.39</c:v>
                </c:pt>
                <c:pt idx="145">
                  <c:v>5.7</c:v>
                </c:pt>
                <c:pt idx="146">
                  <c:v>8.94</c:v>
                </c:pt>
                <c:pt idx="147">
                  <c:v>5.64</c:v>
                </c:pt>
                <c:pt idx="148">
                  <c:v>7.45</c:v>
                </c:pt>
                <c:pt idx="149">
                  <c:v>7.63</c:v>
                </c:pt>
                <c:pt idx="150">
                  <c:v>5.95</c:v>
                </c:pt>
                <c:pt idx="151">
                  <c:v>8.31</c:v>
                </c:pt>
                <c:pt idx="152">
                  <c:v>6.42</c:v>
                </c:pt>
                <c:pt idx="153">
                  <c:v>8.01</c:v>
                </c:pt>
                <c:pt idx="154">
                  <c:v>8.1300000000000008</c:v>
                </c:pt>
                <c:pt idx="155">
                  <c:v>6.17</c:v>
                </c:pt>
                <c:pt idx="156">
                  <c:v>7.76</c:v>
                </c:pt>
                <c:pt idx="157">
                  <c:v>7.84</c:v>
                </c:pt>
                <c:pt idx="158">
                  <c:v>6.09</c:v>
                </c:pt>
                <c:pt idx="159">
                  <c:v>7</c:v>
                </c:pt>
                <c:pt idx="160">
                  <c:v>7.56</c:v>
                </c:pt>
                <c:pt idx="161">
                  <c:v>6.1</c:v>
                </c:pt>
                <c:pt idx="162">
                  <c:v>8.42</c:v>
                </c:pt>
                <c:pt idx="163">
                  <c:v>7.36</c:v>
                </c:pt>
                <c:pt idx="164">
                  <c:v>9.23</c:v>
                </c:pt>
                <c:pt idx="165">
                  <c:v>7.72</c:v>
                </c:pt>
                <c:pt idx="166">
                  <c:v>5.85</c:v>
                </c:pt>
                <c:pt idx="167">
                  <c:v>6.59</c:v>
                </c:pt>
                <c:pt idx="168">
                  <c:v>8.26</c:v>
                </c:pt>
                <c:pt idx="169">
                  <c:v>5.73</c:v>
                </c:pt>
                <c:pt idx="170">
                  <c:v>9.24</c:v>
                </c:pt>
                <c:pt idx="171">
                  <c:v>8.61</c:v>
                </c:pt>
                <c:pt idx="172">
                  <c:v>8.2200000000000006</c:v>
                </c:pt>
                <c:pt idx="173">
                  <c:v>7.87</c:v>
                </c:pt>
                <c:pt idx="174">
                  <c:v>7.12</c:v>
                </c:pt>
                <c:pt idx="175">
                  <c:v>5.79</c:v>
                </c:pt>
                <c:pt idx="176">
                  <c:v>7.98</c:v>
                </c:pt>
                <c:pt idx="177">
                  <c:v>7.69</c:v>
                </c:pt>
                <c:pt idx="178">
                  <c:v>9.4700000000000006</c:v>
                </c:pt>
                <c:pt idx="179">
                  <c:v>6.57</c:v>
                </c:pt>
                <c:pt idx="180">
                  <c:v>8.91</c:v>
                </c:pt>
                <c:pt idx="181">
                  <c:v>8.07</c:v>
                </c:pt>
                <c:pt idx="182">
                  <c:v>7.6</c:v>
                </c:pt>
                <c:pt idx="183">
                  <c:v>6.05</c:v>
                </c:pt>
                <c:pt idx="184">
                  <c:v>9.34</c:v>
                </c:pt>
                <c:pt idx="185">
                  <c:v>6.29</c:v>
                </c:pt>
                <c:pt idx="186">
                  <c:v>8.77</c:v>
                </c:pt>
                <c:pt idx="187">
                  <c:v>6.6</c:v>
                </c:pt>
                <c:pt idx="188">
                  <c:v>7.21</c:v>
                </c:pt>
                <c:pt idx="189">
                  <c:v>6.07</c:v>
                </c:pt>
                <c:pt idx="190">
                  <c:v>9.74</c:v>
                </c:pt>
                <c:pt idx="191">
                  <c:v>6.75</c:v>
                </c:pt>
                <c:pt idx="192">
                  <c:v>8.8800000000000008</c:v>
                </c:pt>
                <c:pt idx="193">
                  <c:v>6.4</c:v>
                </c:pt>
                <c:pt idx="194">
                  <c:v>7.63</c:v>
                </c:pt>
                <c:pt idx="195">
                  <c:v>8.94</c:v>
                </c:pt>
                <c:pt idx="196">
                  <c:v>8.0299999999999994</c:v>
                </c:pt>
                <c:pt idx="197">
                  <c:v>7.43</c:v>
                </c:pt>
                <c:pt idx="198">
                  <c:v>7.95</c:v>
                </c:pt>
                <c:pt idx="199">
                  <c:v>8.43</c:v>
                </c:pt>
                <c:pt idx="200">
                  <c:v>7.86</c:v>
                </c:pt>
                <c:pt idx="201">
                  <c:v>5.53</c:v>
                </c:pt>
                <c:pt idx="202">
                  <c:v>5.96</c:v>
                </c:pt>
                <c:pt idx="203">
                  <c:v>6.78</c:v>
                </c:pt>
                <c:pt idx="204">
                  <c:v>5.81</c:v>
                </c:pt>
                <c:pt idx="205">
                  <c:v>6.27</c:v>
                </c:pt>
                <c:pt idx="206">
                  <c:v>7.62</c:v>
                </c:pt>
                <c:pt idx="207">
                  <c:v>8.98</c:v>
                </c:pt>
                <c:pt idx="208">
                  <c:v>5.58</c:v>
                </c:pt>
                <c:pt idx="209">
                  <c:v>7.08</c:v>
                </c:pt>
                <c:pt idx="210">
                  <c:v>6.57</c:v>
                </c:pt>
                <c:pt idx="211">
                  <c:v>7.52</c:v>
                </c:pt>
                <c:pt idx="212">
                  <c:v>8</c:v>
                </c:pt>
                <c:pt idx="213">
                  <c:v>8.8699999999999992</c:v>
                </c:pt>
                <c:pt idx="214">
                  <c:v>5.85</c:v>
                </c:pt>
                <c:pt idx="215">
                  <c:v>5.55</c:v>
                </c:pt>
                <c:pt idx="216">
                  <c:v>8.6199999999999992</c:v>
                </c:pt>
                <c:pt idx="217">
                  <c:v>6.9</c:v>
                </c:pt>
                <c:pt idx="218">
                  <c:v>7.38</c:v>
                </c:pt>
                <c:pt idx="219">
                  <c:v>6.21</c:v>
                </c:pt>
                <c:pt idx="220">
                  <c:v>6.36</c:v>
                </c:pt>
                <c:pt idx="221">
                  <c:v>6.3</c:v>
                </c:pt>
                <c:pt idx="222">
                  <c:v>6.11</c:v>
                </c:pt>
                <c:pt idx="223">
                  <c:v>5.5</c:v>
                </c:pt>
                <c:pt idx="224">
                  <c:v>8.4499999999999993</c:v>
                </c:pt>
                <c:pt idx="225">
                  <c:v>9.44</c:v>
                </c:pt>
                <c:pt idx="226">
                  <c:v>7.81</c:v>
                </c:pt>
                <c:pt idx="227">
                  <c:v>9.34</c:v>
                </c:pt>
                <c:pt idx="228">
                  <c:v>7.22</c:v>
                </c:pt>
                <c:pt idx="229">
                  <c:v>6.76</c:v>
                </c:pt>
                <c:pt idx="230">
                  <c:v>6.88</c:v>
                </c:pt>
                <c:pt idx="231">
                  <c:v>8.74</c:v>
                </c:pt>
                <c:pt idx="232">
                  <c:v>7.79</c:v>
                </c:pt>
                <c:pt idx="233">
                  <c:v>9.5399999999999991</c:v>
                </c:pt>
                <c:pt idx="234">
                  <c:v>7.57</c:v>
                </c:pt>
                <c:pt idx="235">
                  <c:v>8.44</c:v>
                </c:pt>
                <c:pt idx="236">
                  <c:v>6.43</c:v>
                </c:pt>
                <c:pt idx="237">
                  <c:v>8.11</c:v>
                </c:pt>
                <c:pt idx="238">
                  <c:v>6.96</c:v>
                </c:pt>
                <c:pt idx="239">
                  <c:v>6.13</c:v>
                </c:pt>
                <c:pt idx="240">
                  <c:v>7.07</c:v>
                </c:pt>
                <c:pt idx="241">
                  <c:v>9.4</c:v>
                </c:pt>
                <c:pt idx="242">
                  <c:v>8.58</c:v>
                </c:pt>
                <c:pt idx="243">
                  <c:v>6.68</c:v>
                </c:pt>
                <c:pt idx="244">
                  <c:v>9.77</c:v>
                </c:pt>
                <c:pt idx="245">
                  <c:v>6.23</c:v>
                </c:pt>
                <c:pt idx="246">
                  <c:v>8.5</c:v>
                </c:pt>
                <c:pt idx="247">
                  <c:v>8.94</c:v>
                </c:pt>
                <c:pt idx="248">
                  <c:v>8.01</c:v>
                </c:pt>
                <c:pt idx="249">
                  <c:v>5.57</c:v>
                </c:pt>
                <c:pt idx="250">
                  <c:v>6.54</c:v>
                </c:pt>
                <c:pt idx="251">
                  <c:v>7.78</c:v>
                </c:pt>
                <c:pt idx="252">
                  <c:v>5.61</c:v>
                </c:pt>
                <c:pt idx="253">
                  <c:v>7.19</c:v>
                </c:pt>
                <c:pt idx="254">
                  <c:v>6.15</c:v>
                </c:pt>
                <c:pt idx="255">
                  <c:v>7.45</c:v>
                </c:pt>
                <c:pt idx="256">
                  <c:v>8.64</c:v>
                </c:pt>
                <c:pt idx="257">
                  <c:v>6.04</c:v>
                </c:pt>
                <c:pt idx="258">
                  <c:v>7.99</c:v>
                </c:pt>
                <c:pt idx="259">
                  <c:v>6.84</c:v>
                </c:pt>
                <c:pt idx="260">
                  <c:v>6.05</c:v>
                </c:pt>
                <c:pt idx="261">
                  <c:v>9.0500000000000007</c:v>
                </c:pt>
                <c:pt idx="262">
                  <c:v>6.68</c:v>
                </c:pt>
                <c:pt idx="263">
                  <c:v>6.14</c:v>
                </c:pt>
                <c:pt idx="264">
                  <c:v>5.62</c:v>
                </c:pt>
                <c:pt idx="265">
                  <c:v>9.11</c:v>
                </c:pt>
                <c:pt idx="266">
                  <c:v>6.09</c:v>
                </c:pt>
                <c:pt idx="267">
                  <c:v>7.34</c:v>
                </c:pt>
                <c:pt idx="268">
                  <c:v>9.0299999999999994</c:v>
                </c:pt>
                <c:pt idx="269">
                  <c:v>9.27</c:v>
                </c:pt>
                <c:pt idx="270">
                  <c:v>6.08</c:v>
                </c:pt>
                <c:pt idx="271">
                  <c:v>5.66</c:v>
                </c:pt>
                <c:pt idx="272">
                  <c:v>8.16</c:v>
                </c:pt>
                <c:pt idx="273">
                  <c:v>8.1</c:v>
                </c:pt>
                <c:pt idx="274">
                  <c:v>7.84</c:v>
                </c:pt>
                <c:pt idx="275">
                  <c:v>6.95</c:v>
                </c:pt>
                <c:pt idx="276">
                  <c:v>5.71</c:v>
                </c:pt>
                <c:pt idx="277">
                  <c:v>7.84</c:v>
                </c:pt>
                <c:pt idx="278">
                  <c:v>5.99</c:v>
                </c:pt>
                <c:pt idx="279">
                  <c:v>6.24</c:v>
                </c:pt>
                <c:pt idx="280">
                  <c:v>6.28</c:v>
                </c:pt>
                <c:pt idx="281">
                  <c:v>9.1199999999999992</c:v>
                </c:pt>
                <c:pt idx="282">
                  <c:v>7.84</c:v>
                </c:pt>
                <c:pt idx="283">
                  <c:v>7.19</c:v>
                </c:pt>
                <c:pt idx="284">
                  <c:v>5.91</c:v>
                </c:pt>
                <c:pt idx="285">
                  <c:v>6.81</c:v>
                </c:pt>
                <c:pt idx="286">
                  <c:v>6.01</c:v>
                </c:pt>
                <c:pt idx="287">
                  <c:v>7.95</c:v>
                </c:pt>
                <c:pt idx="288">
                  <c:v>7.45</c:v>
                </c:pt>
                <c:pt idx="289">
                  <c:v>8.48</c:v>
                </c:pt>
                <c:pt idx="290">
                  <c:v>7.53</c:v>
                </c:pt>
                <c:pt idx="291">
                  <c:v>5.52</c:v>
                </c:pt>
                <c:pt idx="292">
                  <c:v>6.35</c:v>
                </c:pt>
                <c:pt idx="293">
                  <c:v>6.92</c:v>
                </c:pt>
                <c:pt idx="294">
                  <c:v>9.41</c:v>
                </c:pt>
                <c:pt idx="295">
                  <c:v>5.85</c:v>
                </c:pt>
                <c:pt idx="296">
                  <c:v>6.54</c:v>
                </c:pt>
                <c:pt idx="297">
                  <c:v>9.64</c:v>
                </c:pt>
                <c:pt idx="298">
                  <c:v>6.85</c:v>
                </c:pt>
                <c:pt idx="299">
                  <c:v>7.51</c:v>
                </c:pt>
                <c:pt idx="300">
                  <c:v>7.89</c:v>
                </c:pt>
                <c:pt idx="301">
                  <c:v>9.4499999999999993</c:v>
                </c:pt>
                <c:pt idx="302">
                  <c:v>5.69</c:v>
                </c:pt>
                <c:pt idx="303">
                  <c:v>6.11</c:v>
                </c:pt>
                <c:pt idx="304">
                  <c:v>8.2100000000000009</c:v>
                </c:pt>
                <c:pt idx="305">
                  <c:v>8.35</c:v>
                </c:pt>
                <c:pt idx="306">
                  <c:v>7.66</c:v>
                </c:pt>
                <c:pt idx="307">
                  <c:v>6.28</c:v>
                </c:pt>
                <c:pt idx="308">
                  <c:v>7.51</c:v>
                </c:pt>
                <c:pt idx="309">
                  <c:v>7.33</c:v>
                </c:pt>
                <c:pt idx="310">
                  <c:v>6.35</c:v>
                </c:pt>
                <c:pt idx="311">
                  <c:v>6.79</c:v>
                </c:pt>
                <c:pt idx="312">
                  <c:v>7.2</c:v>
                </c:pt>
                <c:pt idx="313">
                  <c:v>9.18</c:v>
                </c:pt>
                <c:pt idx="314">
                  <c:v>5.95</c:v>
                </c:pt>
                <c:pt idx="315">
                  <c:v>6.94</c:v>
                </c:pt>
                <c:pt idx="316">
                  <c:v>6.2</c:v>
                </c:pt>
                <c:pt idx="317">
                  <c:v>9.3800000000000008</c:v>
                </c:pt>
                <c:pt idx="318">
                  <c:v>5.55</c:v>
                </c:pt>
                <c:pt idx="319">
                  <c:v>9.67</c:v>
                </c:pt>
                <c:pt idx="320">
                  <c:v>7.52</c:v>
                </c:pt>
                <c:pt idx="321">
                  <c:v>7.48</c:v>
                </c:pt>
                <c:pt idx="322">
                  <c:v>7.61</c:v>
                </c:pt>
                <c:pt idx="323">
                  <c:v>9.44</c:v>
                </c:pt>
                <c:pt idx="324">
                  <c:v>5.95</c:v>
                </c:pt>
                <c:pt idx="325">
                  <c:v>9.52</c:v>
                </c:pt>
                <c:pt idx="326">
                  <c:v>8.81</c:v>
                </c:pt>
                <c:pt idx="327">
                  <c:v>7.85</c:v>
                </c:pt>
                <c:pt idx="328">
                  <c:v>9.5</c:v>
                </c:pt>
                <c:pt idx="329">
                  <c:v>7.48</c:v>
                </c:pt>
                <c:pt idx="330">
                  <c:v>5.58</c:v>
                </c:pt>
                <c:pt idx="331">
                  <c:v>7.95</c:v>
                </c:pt>
                <c:pt idx="332">
                  <c:v>6.3</c:v>
                </c:pt>
                <c:pt idx="333">
                  <c:v>7.17</c:v>
                </c:pt>
                <c:pt idx="334">
                  <c:v>9.57</c:v>
                </c:pt>
                <c:pt idx="335">
                  <c:v>7.79</c:v>
                </c:pt>
                <c:pt idx="336">
                  <c:v>8.07</c:v>
                </c:pt>
                <c:pt idx="337">
                  <c:v>5.75</c:v>
                </c:pt>
                <c:pt idx="338">
                  <c:v>6.54</c:v>
                </c:pt>
                <c:pt idx="339">
                  <c:v>9.09</c:v>
                </c:pt>
                <c:pt idx="340">
                  <c:v>9.5299999999999994</c:v>
                </c:pt>
                <c:pt idx="341">
                  <c:v>7.27</c:v>
                </c:pt>
                <c:pt idx="342">
                  <c:v>9.1199999999999992</c:v>
                </c:pt>
                <c:pt idx="343">
                  <c:v>5.83</c:v>
                </c:pt>
                <c:pt idx="344">
                  <c:v>6.33</c:v>
                </c:pt>
                <c:pt idx="345">
                  <c:v>9.27</c:v>
                </c:pt>
                <c:pt idx="346">
                  <c:v>9.2899999999999991</c:v>
                </c:pt>
                <c:pt idx="347">
                  <c:v>9.7100000000000009</c:v>
                </c:pt>
                <c:pt idx="348">
                  <c:v>6.73</c:v>
                </c:pt>
                <c:pt idx="349">
                  <c:v>6.49</c:v>
                </c:pt>
                <c:pt idx="350">
                  <c:v>5.8</c:v>
                </c:pt>
                <c:pt idx="351">
                  <c:v>8.32</c:v>
                </c:pt>
                <c:pt idx="352">
                  <c:v>5.92</c:v>
                </c:pt>
                <c:pt idx="353">
                  <c:v>7.9</c:v>
                </c:pt>
                <c:pt idx="354">
                  <c:v>6.91</c:v>
                </c:pt>
                <c:pt idx="355">
                  <c:v>5.81</c:v>
                </c:pt>
                <c:pt idx="356">
                  <c:v>6.37</c:v>
                </c:pt>
                <c:pt idx="357">
                  <c:v>5.83</c:v>
                </c:pt>
                <c:pt idx="358">
                  <c:v>6.51</c:v>
                </c:pt>
                <c:pt idx="359">
                  <c:v>8.8800000000000008</c:v>
                </c:pt>
                <c:pt idx="360">
                  <c:v>9.73</c:v>
                </c:pt>
                <c:pt idx="361">
                  <c:v>6.2</c:v>
                </c:pt>
                <c:pt idx="362">
                  <c:v>8.1</c:v>
                </c:pt>
                <c:pt idx="363">
                  <c:v>8.92</c:v>
                </c:pt>
                <c:pt idx="364">
                  <c:v>8.19</c:v>
                </c:pt>
                <c:pt idx="365">
                  <c:v>6.56</c:v>
                </c:pt>
                <c:pt idx="366">
                  <c:v>6.22</c:v>
                </c:pt>
                <c:pt idx="367">
                  <c:v>5.76</c:v>
                </c:pt>
                <c:pt idx="368">
                  <c:v>6.59</c:v>
                </c:pt>
                <c:pt idx="369">
                  <c:v>7.34</c:v>
                </c:pt>
                <c:pt idx="370">
                  <c:v>9.1300000000000008</c:v>
                </c:pt>
                <c:pt idx="371">
                  <c:v>7.23</c:v>
                </c:pt>
                <c:pt idx="372">
                  <c:v>6.16</c:v>
                </c:pt>
                <c:pt idx="373">
                  <c:v>7.52</c:v>
                </c:pt>
                <c:pt idx="374">
                  <c:v>8.44</c:v>
                </c:pt>
                <c:pt idx="375">
                  <c:v>7.74</c:v>
                </c:pt>
                <c:pt idx="376">
                  <c:v>6.95</c:v>
                </c:pt>
                <c:pt idx="377">
                  <c:v>9</c:v>
                </c:pt>
                <c:pt idx="378">
                  <c:v>9.08</c:v>
                </c:pt>
                <c:pt idx="379">
                  <c:v>5.76</c:v>
                </c:pt>
                <c:pt idx="380">
                  <c:v>7.85</c:v>
                </c:pt>
                <c:pt idx="381">
                  <c:v>9.68</c:v>
                </c:pt>
                <c:pt idx="382">
                  <c:v>5.74</c:v>
                </c:pt>
                <c:pt idx="383">
                  <c:v>7.96</c:v>
                </c:pt>
                <c:pt idx="384">
                  <c:v>5.51</c:v>
                </c:pt>
                <c:pt idx="385">
                  <c:v>6.82</c:v>
                </c:pt>
                <c:pt idx="386">
                  <c:v>8.35</c:v>
                </c:pt>
                <c:pt idx="387">
                  <c:v>7.73</c:v>
                </c:pt>
                <c:pt idx="388">
                  <c:v>9.61</c:v>
                </c:pt>
                <c:pt idx="389">
                  <c:v>5.61</c:v>
                </c:pt>
                <c:pt idx="390">
                  <c:v>7.92</c:v>
                </c:pt>
                <c:pt idx="391">
                  <c:v>5.83</c:v>
                </c:pt>
                <c:pt idx="392">
                  <c:v>7.17</c:v>
                </c:pt>
                <c:pt idx="393">
                  <c:v>8.25</c:v>
                </c:pt>
                <c:pt idx="394">
                  <c:v>7.98</c:v>
                </c:pt>
                <c:pt idx="395">
                  <c:v>6.21</c:v>
                </c:pt>
                <c:pt idx="396">
                  <c:v>6.97</c:v>
                </c:pt>
                <c:pt idx="397">
                  <c:v>7.29</c:v>
                </c:pt>
                <c:pt idx="398">
                  <c:v>7.77</c:v>
                </c:pt>
                <c:pt idx="399">
                  <c:v>7.85</c:v>
                </c:pt>
                <c:pt idx="400">
                  <c:v>8.0500000000000007</c:v>
                </c:pt>
                <c:pt idx="401">
                  <c:v>6.5</c:v>
                </c:pt>
                <c:pt idx="402">
                  <c:v>7.14</c:v>
                </c:pt>
                <c:pt idx="403">
                  <c:v>7.79</c:v>
                </c:pt>
                <c:pt idx="404">
                  <c:v>8.17</c:v>
                </c:pt>
                <c:pt idx="405">
                  <c:v>7.76</c:v>
                </c:pt>
                <c:pt idx="406">
                  <c:v>7.47</c:v>
                </c:pt>
                <c:pt idx="407">
                  <c:v>9.77</c:v>
                </c:pt>
                <c:pt idx="408">
                  <c:v>7.68</c:v>
                </c:pt>
                <c:pt idx="409">
                  <c:v>6.9</c:v>
                </c:pt>
                <c:pt idx="410">
                  <c:v>6.95</c:v>
                </c:pt>
                <c:pt idx="411">
                  <c:v>6.06</c:v>
                </c:pt>
                <c:pt idx="412">
                  <c:v>7.66</c:v>
                </c:pt>
                <c:pt idx="413">
                  <c:v>7.16</c:v>
                </c:pt>
                <c:pt idx="414">
                  <c:v>8.74</c:v>
                </c:pt>
                <c:pt idx="415">
                  <c:v>7.79</c:v>
                </c:pt>
                <c:pt idx="416">
                  <c:v>5.63</c:v>
                </c:pt>
                <c:pt idx="417">
                  <c:v>5.75</c:v>
                </c:pt>
                <c:pt idx="418">
                  <c:v>6.11</c:v>
                </c:pt>
                <c:pt idx="419">
                  <c:v>5.64</c:v>
                </c:pt>
                <c:pt idx="420">
                  <c:v>5.8</c:v>
                </c:pt>
                <c:pt idx="421">
                  <c:v>5.78</c:v>
                </c:pt>
                <c:pt idx="422">
                  <c:v>9.11</c:v>
                </c:pt>
                <c:pt idx="423">
                  <c:v>6.36</c:v>
                </c:pt>
                <c:pt idx="424">
                  <c:v>8.14</c:v>
                </c:pt>
                <c:pt idx="425">
                  <c:v>7.26</c:v>
                </c:pt>
                <c:pt idx="426">
                  <c:v>6.83</c:v>
                </c:pt>
                <c:pt idx="427">
                  <c:v>6.57</c:v>
                </c:pt>
                <c:pt idx="428">
                  <c:v>5.9</c:v>
                </c:pt>
                <c:pt idx="429">
                  <c:v>8.0399999999999991</c:v>
                </c:pt>
                <c:pt idx="430">
                  <c:v>7.14</c:v>
                </c:pt>
                <c:pt idx="431">
                  <c:v>9.2899999999999991</c:v>
                </c:pt>
                <c:pt idx="432">
                  <c:v>6.27</c:v>
                </c:pt>
                <c:pt idx="433">
                  <c:v>8.9700000000000006</c:v>
                </c:pt>
                <c:pt idx="434">
                  <c:v>5.83</c:v>
                </c:pt>
                <c:pt idx="435">
                  <c:v>6.84</c:v>
                </c:pt>
                <c:pt idx="436">
                  <c:v>7.42</c:v>
                </c:pt>
                <c:pt idx="437">
                  <c:v>6.08</c:v>
                </c:pt>
                <c:pt idx="438">
                  <c:v>6.33</c:v>
                </c:pt>
                <c:pt idx="439">
                  <c:v>7.58</c:v>
                </c:pt>
                <c:pt idx="440">
                  <c:v>7.56</c:v>
                </c:pt>
                <c:pt idx="441">
                  <c:v>9.01</c:v>
                </c:pt>
                <c:pt idx="442">
                  <c:v>7.38</c:v>
                </c:pt>
                <c:pt idx="443">
                  <c:v>7.44</c:v>
                </c:pt>
                <c:pt idx="444">
                  <c:v>5.87</c:v>
                </c:pt>
                <c:pt idx="445">
                  <c:v>7.15</c:v>
                </c:pt>
                <c:pt idx="446">
                  <c:v>9.44</c:v>
                </c:pt>
                <c:pt idx="447">
                  <c:v>9.15</c:v>
                </c:pt>
                <c:pt idx="448">
                  <c:v>6.65</c:v>
                </c:pt>
                <c:pt idx="449">
                  <c:v>5.5</c:v>
                </c:pt>
                <c:pt idx="450">
                  <c:v>7.62</c:v>
                </c:pt>
                <c:pt idx="451">
                  <c:v>8.99</c:v>
                </c:pt>
                <c:pt idx="452">
                  <c:v>8.51</c:v>
                </c:pt>
                <c:pt idx="453">
                  <c:v>6.81</c:v>
                </c:pt>
                <c:pt idx="454">
                  <c:v>8.14</c:v>
                </c:pt>
                <c:pt idx="455">
                  <c:v>8.8699999999999992</c:v>
                </c:pt>
                <c:pt idx="456">
                  <c:v>7.34</c:v>
                </c:pt>
                <c:pt idx="457">
                  <c:v>5.78</c:v>
                </c:pt>
                <c:pt idx="458">
                  <c:v>6.4</c:v>
                </c:pt>
                <c:pt idx="459">
                  <c:v>9.3800000000000008</c:v>
                </c:pt>
                <c:pt idx="460">
                  <c:v>6.69</c:v>
                </c:pt>
                <c:pt idx="461">
                  <c:v>6.39</c:v>
                </c:pt>
                <c:pt idx="462">
                  <c:v>9.58</c:v>
                </c:pt>
                <c:pt idx="463">
                  <c:v>7.25</c:v>
                </c:pt>
                <c:pt idx="464">
                  <c:v>6.19</c:v>
                </c:pt>
                <c:pt idx="465">
                  <c:v>8.1300000000000008</c:v>
                </c:pt>
                <c:pt idx="466">
                  <c:v>6.96</c:v>
                </c:pt>
                <c:pt idx="467">
                  <c:v>8.09</c:v>
                </c:pt>
                <c:pt idx="468">
                  <c:v>9.7100000000000009</c:v>
                </c:pt>
                <c:pt idx="469">
                  <c:v>6.21</c:v>
                </c:pt>
                <c:pt idx="470">
                  <c:v>6.51</c:v>
                </c:pt>
                <c:pt idx="471">
                  <c:v>7.71</c:v>
                </c:pt>
                <c:pt idx="472">
                  <c:v>6.42</c:v>
                </c:pt>
                <c:pt idx="473">
                  <c:v>6.21</c:v>
                </c:pt>
                <c:pt idx="474">
                  <c:v>7.39</c:v>
                </c:pt>
                <c:pt idx="475">
                  <c:v>8.4499999999999993</c:v>
                </c:pt>
                <c:pt idx="476">
                  <c:v>6.85</c:v>
                </c:pt>
                <c:pt idx="477">
                  <c:v>8.99</c:v>
                </c:pt>
                <c:pt idx="478">
                  <c:v>6.21</c:v>
                </c:pt>
                <c:pt idx="479">
                  <c:v>6.73</c:v>
                </c:pt>
                <c:pt idx="480">
                  <c:v>7.16</c:v>
                </c:pt>
                <c:pt idx="481">
                  <c:v>7.41</c:v>
                </c:pt>
                <c:pt idx="482">
                  <c:v>6.09</c:v>
                </c:pt>
                <c:pt idx="483">
                  <c:v>8</c:v>
                </c:pt>
                <c:pt idx="484">
                  <c:v>8.2799999999999994</c:v>
                </c:pt>
                <c:pt idx="485">
                  <c:v>5.79</c:v>
                </c:pt>
                <c:pt idx="486">
                  <c:v>9.5399999999999991</c:v>
                </c:pt>
                <c:pt idx="487">
                  <c:v>8.2200000000000006</c:v>
                </c:pt>
                <c:pt idx="488">
                  <c:v>6.58</c:v>
                </c:pt>
                <c:pt idx="489">
                  <c:v>7.56</c:v>
                </c:pt>
                <c:pt idx="490">
                  <c:v>6.55</c:v>
                </c:pt>
                <c:pt idx="491">
                  <c:v>8.7799999999999994</c:v>
                </c:pt>
                <c:pt idx="492">
                  <c:v>6.93</c:v>
                </c:pt>
                <c:pt idx="493">
                  <c:v>6.39</c:v>
                </c:pt>
                <c:pt idx="494">
                  <c:v>9.2200000000000006</c:v>
                </c:pt>
                <c:pt idx="495">
                  <c:v>6.71</c:v>
                </c:pt>
                <c:pt idx="496">
                  <c:v>6.21</c:v>
                </c:pt>
                <c:pt idx="497">
                  <c:v>7.71</c:v>
                </c:pt>
                <c:pt idx="498">
                  <c:v>7.5</c:v>
                </c:pt>
                <c:pt idx="499">
                  <c:v>7.36</c:v>
                </c:pt>
                <c:pt idx="500">
                  <c:v>7.42</c:v>
                </c:pt>
                <c:pt idx="501">
                  <c:v>6.99</c:v>
                </c:pt>
                <c:pt idx="502">
                  <c:v>9.3000000000000007</c:v>
                </c:pt>
                <c:pt idx="503">
                  <c:v>7.87</c:v>
                </c:pt>
                <c:pt idx="504">
                  <c:v>9.2799999999999994</c:v>
                </c:pt>
                <c:pt idx="505">
                  <c:v>9.49</c:v>
                </c:pt>
                <c:pt idx="506">
                  <c:v>6.05</c:v>
                </c:pt>
                <c:pt idx="507">
                  <c:v>7.88</c:v>
                </c:pt>
                <c:pt idx="508">
                  <c:v>8.1300000000000008</c:v>
                </c:pt>
                <c:pt idx="509">
                  <c:v>6.74</c:v>
                </c:pt>
                <c:pt idx="510">
                  <c:v>6.34</c:v>
                </c:pt>
                <c:pt idx="511">
                  <c:v>7.84</c:v>
                </c:pt>
                <c:pt idx="512">
                  <c:v>9.52</c:v>
                </c:pt>
                <c:pt idx="513">
                  <c:v>5.98</c:v>
                </c:pt>
                <c:pt idx="514">
                  <c:v>9.16</c:v>
                </c:pt>
                <c:pt idx="515">
                  <c:v>5.66</c:v>
                </c:pt>
                <c:pt idx="516">
                  <c:v>5.76</c:v>
                </c:pt>
                <c:pt idx="517">
                  <c:v>8.83</c:v>
                </c:pt>
                <c:pt idx="518">
                  <c:v>6.82</c:v>
                </c:pt>
                <c:pt idx="519">
                  <c:v>5.93</c:v>
                </c:pt>
                <c:pt idx="520">
                  <c:v>7.96</c:v>
                </c:pt>
                <c:pt idx="521">
                  <c:v>7.12</c:v>
                </c:pt>
                <c:pt idx="522">
                  <c:v>8.57</c:v>
                </c:pt>
                <c:pt idx="523">
                  <c:v>8.39</c:v>
                </c:pt>
                <c:pt idx="524">
                  <c:v>7.48</c:v>
                </c:pt>
                <c:pt idx="525">
                  <c:v>6.6</c:v>
                </c:pt>
                <c:pt idx="526">
                  <c:v>6.1</c:v>
                </c:pt>
                <c:pt idx="527">
                  <c:v>6.72</c:v>
                </c:pt>
                <c:pt idx="528">
                  <c:v>5.81</c:v>
                </c:pt>
                <c:pt idx="529">
                  <c:v>5.6</c:v>
                </c:pt>
                <c:pt idx="530">
                  <c:v>6.6</c:v>
                </c:pt>
                <c:pt idx="531">
                  <c:v>7.27</c:v>
                </c:pt>
                <c:pt idx="532">
                  <c:v>5.88</c:v>
                </c:pt>
                <c:pt idx="533">
                  <c:v>7.82</c:v>
                </c:pt>
                <c:pt idx="534">
                  <c:v>6.19</c:v>
                </c:pt>
                <c:pt idx="535">
                  <c:v>8.35</c:v>
                </c:pt>
                <c:pt idx="536">
                  <c:v>6.13</c:v>
                </c:pt>
                <c:pt idx="537">
                  <c:v>6.19</c:v>
                </c:pt>
                <c:pt idx="538">
                  <c:v>7.4</c:v>
                </c:pt>
                <c:pt idx="539">
                  <c:v>8.67</c:v>
                </c:pt>
                <c:pt idx="540">
                  <c:v>7.83</c:v>
                </c:pt>
                <c:pt idx="541">
                  <c:v>7.94</c:v>
                </c:pt>
                <c:pt idx="542">
                  <c:v>5.82</c:v>
                </c:pt>
                <c:pt idx="543">
                  <c:v>6.49</c:v>
                </c:pt>
                <c:pt idx="544">
                  <c:v>5.99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12D-0E4F-8BE1-BD802E64C1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4426448"/>
        <c:axId val="454408256"/>
      </c:lineChart>
      <c:catAx>
        <c:axId val="454426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4408256"/>
        <c:crosses val="autoZero"/>
        <c:auto val="1"/>
        <c:lblAlgn val="ctr"/>
        <c:lblOffset val="100"/>
        <c:noMultiLvlLbl val="0"/>
      </c:catAx>
      <c:valAx>
        <c:axId val="454408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4426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33406036745406825"/>
          <c:y val="0.24523148148148149"/>
          <c:w val="0.4528611111111111"/>
          <c:h val="0.75476851851851856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9558-3F48-B080-D5B120AF4DF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9558-3F48-B080-D5B120AF4DF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9558-3F48-B080-D5B120AF4DF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7-9558-3F48-B080-D5B120AF4DF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9-9558-3F48-B080-D5B120AF4DFC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9558-3F48-B080-D5B120AF4DFC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9558-3F48-B080-D5B120AF4DFC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9558-3F48-B080-D5B120AF4DFC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9558-3F48-B080-D5B120AF4DFC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9-9558-3F48-B080-D5B120AF4DFC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(Cleaned_Data!$Q$2,Cleaned_Data!$R$2,Cleaned_Data!$S$2,Cleaned_Data!$T$2,Cleaned_Data!$U$2)</c:f>
              <c:numCache>
                <c:formatCode>General</c:formatCode>
                <c:ptCount val="5"/>
                <c:pt idx="0">
                  <c:v>7.4499999999999993</c:v>
                </c:pt>
                <c:pt idx="1">
                  <c:v>3</c:v>
                </c:pt>
                <c:pt idx="2">
                  <c:v>2.5499999999999998</c:v>
                </c:pt>
                <c:pt idx="3">
                  <c:v>1.45</c:v>
                </c:pt>
                <c:pt idx="4">
                  <c:v>6.4499999999999993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558-3F48-B080-D5B120AF4DFC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Field: </a:t>
            </a:r>
            <a:r>
              <a:rPr lang="en-US">
                <a:solidFill>
                  <a:srgbClr val="DD5A13"/>
                </a:solidFill>
              </a:rPr>
              <a:t>Previous_Sem_CGPA</a:t>
            </a:r>
            <a:r>
              <a:rPr lang="en-US"/>
              <a:t> and Field: </a:t>
            </a:r>
            <a:r>
              <a:rPr lang="en-US">
                <a:solidFill>
                  <a:srgbClr val="DD5A13"/>
                </a:solidFill>
              </a:rPr>
              <a:t>Total Study Hours</a:t>
            </a:r>
            <a:r>
              <a:rPr lang="en-US"/>
              <a:t> appear highly correlated.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Cleaned_Data!$M$1</c:f>
              <c:strCache>
                <c:ptCount val="1"/>
                <c:pt idx="0">
                  <c:v>Total Study Hours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ED7331"/>
              </a:solidFill>
              <a:ln w="9525">
                <a:solidFill>
                  <a:srgbClr val="FFFFFF"/>
                </a:solidFill>
                <a:prstDash val="solid"/>
              </a:ln>
              <a:effectLst/>
            </c:spPr>
          </c:marker>
          <c:trendline>
            <c:spPr>
              <a:ln w="19050" cap="rnd">
                <a:solidFill>
                  <a:srgbClr val="ED733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Cleaned_Data!$K$2:$K$546</c:f>
              <c:numCache>
                <c:formatCode>General</c:formatCode>
                <c:ptCount val="545"/>
                <c:pt idx="0">
                  <c:v>7.72</c:v>
                </c:pt>
                <c:pt idx="1">
                  <c:v>6.67</c:v>
                </c:pt>
                <c:pt idx="2">
                  <c:v>6.1</c:v>
                </c:pt>
                <c:pt idx="3">
                  <c:v>6.77</c:v>
                </c:pt>
                <c:pt idx="4">
                  <c:v>6.66</c:v>
                </c:pt>
                <c:pt idx="5">
                  <c:v>9.48</c:v>
                </c:pt>
                <c:pt idx="6">
                  <c:v>8.9700000000000006</c:v>
                </c:pt>
                <c:pt idx="7">
                  <c:v>8.3800000000000008</c:v>
                </c:pt>
                <c:pt idx="8">
                  <c:v>7.26</c:v>
                </c:pt>
                <c:pt idx="9">
                  <c:v>6.08</c:v>
                </c:pt>
                <c:pt idx="10">
                  <c:v>8.25</c:v>
                </c:pt>
                <c:pt idx="11">
                  <c:v>6.9399999999999897</c:v>
                </c:pt>
                <c:pt idx="12">
                  <c:v>6.3</c:v>
                </c:pt>
                <c:pt idx="13">
                  <c:v>6.33</c:v>
                </c:pt>
                <c:pt idx="14">
                  <c:v>9.33</c:v>
                </c:pt>
                <c:pt idx="15">
                  <c:v>7.3999999999999897</c:v>
                </c:pt>
                <c:pt idx="16">
                  <c:v>7.06</c:v>
                </c:pt>
                <c:pt idx="17">
                  <c:v>7.53</c:v>
                </c:pt>
                <c:pt idx="18">
                  <c:v>5.92</c:v>
                </c:pt>
                <c:pt idx="19">
                  <c:v>7.25</c:v>
                </c:pt>
                <c:pt idx="20">
                  <c:v>6.1099999999999897</c:v>
                </c:pt>
                <c:pt idx="21">
                  <c:v>5.54</c:v>
                </c:pt>
                <c:pt idx="22">
                  <c:v>7.6899999999999897</c:v>
                </c:pt>
                <c:pt idx="23">
                  <c:v>5.31</c:v>
                </c:pt>
                <c:pt idx="24">
                  <c:v>8.2799999999999994</c:v>
                </c:pt>
                <c:pt idx="25">
                  <c:v>6.68</c:v>
                </c:pt>
                <c:pt idx="26">
                  <c:v>8.17</c:v>
                </c:pt>
                <c:pt idx="27">
                  <c:v>6.64</c:v>
                </c:pt>
                <c:pt idx="28">
                  <c:v>8.58</c:v>
                </c:pt>
                <c:pt idx="29">
                  <c:v>5.6099999999999897</c:v>
                </c:pt>
                <c:pt idx="30">
                  <c:v>5.8199999999999896</c:v>
                </c:pt>
                <c:pt idx="31">
                  <c:v>7.43</c:v>
                </c:pt>
                <c:pt idx="32">
                  <c:v>6.87</c:v>
                </c:pt>
                <c:pt idx="33">
                  <c:v>7.22</c:v>
                </c:pt>
                <c:pt idx="34">
                  <c:v>6.4399999999999897</c:v>
                </c:pt>
                <c:pt idx="35">
                  <c:v>6.89</c:v>
                </c:pt>
                <c:pt idx="36">
                  <c:v>7.01</c:v>
                </c:pt>
                <c:pt idx="37">
                  <c:v>7.67</c:v>
                </c:pt>
                <c:pt idx="38">
                  <c:v>6.09</c:v>
                </c:pt>
                <c:pt idx="39">
                  <c:v>7.9199999999999902</c:v>
                </c:pt>
                <c:pt idx="40">
                  <c:v>5.53</c:v>
                </c:pt>
                <c:pt idx="41">
                  <c:v>7.62</c:v>
                </c:pt>
                <c:pt idx="42">
                  <c:v>8.09</c:v>
                </c:pt>
                <c:pt idx="43">
                  <c:v>7.55</c:v>
                </c:pt>
                <c:pt idx="44">
                  <c:v>5.67</c:v>
                </c:pt>
                <c:pt idx="45">
                  <c:v>6.54</c:v>
                </c:pt>
                <c:pt idx="46">
                  <c:v>5.8599999999999897</c:v>
                </c:pt>
                <c:pt idx="47">
                  <c:v>8.3699999999999992</c:v>
                </c:pt>
                <c:pt idx="48">
                  <c:v>7.6099999999999897</c:v>
                </c:pt>
                <c:pt idx="49">
                  <c:v>5.77</c:v>
                </c:pt>
                <c:pt idx="50">
                  <c:v>6.21</c:v>
                </c:pt>
                <c:pt idx="51">
                  <c:v>6.43</c:v>
                </c:pt>
                <c:pt idx="52">
                  <c:v>6.83</c:v>
                </c:pt>
                <c:pt idx="53">
                  <c:v>6.71</c:v>
                </c:pt>
                <c:pt idx="54">
                  <c:v>9.56</c:v>
                </c:pt>
                <c:pt idx="55">
                  <c:v>9.25</c:v>
                </c:pt>
                <c:pt idx="56">
                  <c:v>5.58</c:v>
                </c:pt>
                <c:pt idx="57">
                  <c:v>8.42</c:v>
                </c:pt>
                <c:pt idx="58">
                  <c:v>5.97</c:v>
                </c:pt>
                <c:pt idx="59">
                  <c:v>7.49</c:v>
                </c:pt>
                <c:pt idx="60">
                  <c:v>6.2</c:v>
                </c:pt>
                <c:pt idx="61">
                  <c:v>8.6999999999999993</c:v>
                </c:pt>
                <c:pt idx="62">
                  <c:v>6.26</c:v>
                </c:pt>
                <c:pt idx="63">
                  <c:v>8.31</c:v>
                </c:pt>
                <c:pt idx="64">
                  <c:v>9.31</c:v>
                </c:pt>
                <c:pt idx="65">
                  <c:v>7.16</c:v>
                </c:pt>
                <c:pt idx="66">
                  <c:v>5.64</c:v>
                </c:pt>
                <c:pt idx="67">
                  <c:v>5.51</c:v>
                </c:pt>
                <c:pt idx="68">
                  <c:v>6.13</c:v>
                </c:pt>
                <c:pt idx="69">
                  <c:v>9.2200000000000006</c:v>
                </c:pt>
                <c:pt idx="70">
                  <c:v>6.85</c:v>
                </c:pt>
                <c:pt idx="71">
                  <c:v>5.39</c:v>
                </c:pt>
                <c:pt idx="72">
                  <c:v>7.8399999999999901</c:v>
                </c:pt>
                <c:pt idx="73">
                  <c:v>5.67</c:v>
                </c:pt>
                <c:pt idx="74">
                  <c:v>7.4799999999999898</c:v>
                </c:pt>
                <c:pt idx="75">
                  <c:v>7.72</c:v>
                </c:pt>
                <c:pt idx="76">
                  <c:v>5.6099999999999897</c:v>
                </c:pt>
                <c:pt idx="77">
                  <c:v>6.96</c:v>
                </c:pt>
                <c:pt idx="78">
                  <c:v>8.24</c:v>
                </c:pt>
                <c:pt idx="79">
                  <c:v>7.14</c:v>
                </c:pt>
                <c:pt idx="80">
                  <c:v>9.49</c:v>
                </c:pt>
                <c:pt idx="81">
                  <c:v>6.59</c:v>
                </c:pt>
                <c:pt idx="82">
                  <c:v>6.74</c:v>
                </c:pt>
                <c:pt idx="83">
                  <c:v>5.85</c:v>
                </c:pt>
                <c:pt idx="84">
                  <c:v>5.41</c:v>
                </c:pt>
                <c:pt idx="85">
                  <c:v>6.4399999999999897</c:v>
                </c:pt>
                <c:pt idx="86">
                  <c:v>5.79</c:v>
                </c:pt>
                <c:pt idx="87">
                  <c:v>8.26</c:v>
                </c:pt>
                <c:pt idx="88">
                  <c:v>6.37</c:v>
                </c:pt>
                <c:pt idx="89">
                  <c:v>6.7</c:v>
                </c:pt>
                <c:pt idx="90">
                  <c:v>9.5399999999999991</c:v>
                </c:pt>
                <c:pt idx="91">
                  <c:v>5.3999999999999897</c:v>
                </c:pt>
                <c:pt idx="92">
                  <c:v>8.0299999999999994</c:v>
                </c:pt>
                <c:pt idx="93">
                  <c:v>7.68</c:v>
                </c:pt>
                <c:pt idx="94">
                  <c:v>7.34</c:v>
                </c:pt>
                <c:pt idx="95">
                  <c:v>8.1300000000000008</c:v>
                </c:pt>
                <c:pt idx="96">
                  <c:v>6.97</c:v>
                </c:pt>
                <c:pt idx="97">
                  <c:v>7.3</c:v>
                </c:pt>
                <c:pt idx="98">
                  <c:v>5.3599999999999897</c:v>
                </c:pt>
                <c:pt idx="99">
                  <c:v>7.78</c:v>
                </c:pt>
                <c:pt idx="100">
                  <c:v>6.04</c:v>
                </c:pt>
                <c:pt idx="101">
                  <c:v>7.71</c:v>
                </c:pt>
                <c:pt idx="102">
                  <c:v>6.49</c:v>
                </c:pt>
                <c:pt idx="103">
                  <c:v>5.62</c:v>
                </c:pt>
                <c:pt idx="104">
                  <c:v>6.87</c:v>
                </c:pt>
                <c:pt idx="105">
                  <c:v>5.9799999999999898</c:v>
                </c:pt>
                <c:pt idx="106">
                  <c:v>5.41</c:v>
                </c:pt>
                <c:pt idx="107">
                  <c:v>6.13</c:v>
                </c:pt>
                <c:pt idx="108">
                  <c:v>8.3000000000000007</c:v>
                </c:pt>
                <c:pt idx="109">
                  <c:v>7.14</c:v>
                </c:pt>
                <c:pt idx="110">
                  <c:v>5.49</c:v>
                </c:pt>
                <c:pt idx="111">
                  <c:v>7.6899999999999897</c:v>
                </c:pt>
                <c:pt idx="112">
                  <c:v>7.86</c:v>
                </c:pt>
                <c:pt idx="113">
                  <c:v>8.2899999999999991</c:v>
                </c:pt>
                <c:pt idx="114">
                  <c:v>7.68</c:v>
                </c:pt>
                <c:pt idx="115">
                  <c:v>7.24</c:v>
                </c:pt>
                <c:pt idx="116">
                  <c:v>6.99</c:v>
                </c:pt>
                <c:pt idx="117">
                  <c:v>6.79</c:v>
                </c:pt>
                <c:pt idx="118">
                  <c:v>8.7899999999999991</c:v>
                </c:pt>
                <c:pt idx="119">
                  <c:v>7.04</c:v>
                </c:pt>
                <c:pt idx="120">
                  <c:v>6.46</c:v>
                </c:pt>
                <c:pt idx="121">
                  <c:v>6.7299999999999898</c:v>
                </c:pt>
                <c:pt idx="122">
                  <c:v>5.42</c:v>
                </c:pt>
                <c:pt idx="123">
                  <c:v>7.41</c:v>
                </c:pt>
                <c:pt idx="124">
                  <c:v>6.03</c:v>
                </c:pt>
                <c:pt idx="125">
                  <c:v>7.38</c:v>
                </c:pt>
                <c:pt idx="126">
                  <c:v>5.31</c:v>
                </c:pt>
                <c:pt idx="127">
                  <c:v>7.97</c:v>
                </c:pt>
                <c:pt idx="128">
                  <c:v>8.65</c:v>
                </c:pt>
                <c:pt idx="129">
                  <c:v>6.05</c:v>
                </c:pt>
                <c:pt idx="130">
                  <c:v>7.47</c:v>
                </c:pt>
                <c:pt idx="131">
                  <c:v>9.14</c:v>
                </c:pt>
                <c:pt idx="132">
                  <c:v>9.07</c:v>
                </c:pt>
                <c:pt idx="133">
                  <c:v>7.72</c:v>
                </c:pt>
                <c:pt idx="134">
                  <c:v>6.76</c:v>
                </c:pt>
                <c:pt idx="135">
                  <c:v>7.88</c:v>
                </c:pt>
                <c:pt idx="136">
                  <c:v>7.02</c:v>
                </c:pt>
                <c:pt idx="137">
                  <c:v>5.5699999999999896</c:v>
                </c:pt>
                <c:pt idx="138">
                  <c:v>7.6099999999999897</c:v>
                </c:pt>
                <c:pt idx="139">
                  <c:v>6.37</c:v>
                </c:pt>
                <c:pt idx="140">
                  <c:v>5.81</c:v>
                </c:pt>
                <c:pt idx="141">
                  <c:v>6.1099999999999897</c:v>
                </c:pt>
                <c:pt idx="142">
                  <c:v>5.8</c:v>
                </c:pt>
                <c:pt idx="143">
                  <c:v>7.12</c:v>
                </c:pt>
                <c:pt idx="144">
                  <c:v>9.19</c:v>
                </c:pt>
                <c:pt idx="145">
                  <c:v>5.5</c:v>
                </c:pt>
                <c:pt idx="146">
                  <c:v>8.74</c:v>
                </c:pt>
                <c:pt idx="147">
                  <c:v>5.4399999999999897</c:v>
                </c:pt>
                <c:pt idx="148">
                  <c:v>7.25</c:v>
                </c:pt>
                <c:pt idx="149">
                  <c:v>7.43</c:v>
                </c:pt>
                <c:pt idx="150">
                  <c:v>5.75</c:v>
                </c:pt>
                <c:pt idx="151">
                  <c:v>8.11</c:v>
                </c:pt>
                <c:pt idx="152">
                  <c:v>6.22</c:v>
                </c:pt>
                <c:pt idx="153">
                  <c:v>7.81</c:v>
                </c:pt>
                <c:pt idx="154">
                  <c:v>7.93</c:v>
                </c:pt>
                <c:pt idx="155">
                  <c:v>5.97</c:v>
                </c:pt>
                <c:pt idx="156">
                  <c:v>7.56</c:v>
                </c:pt>
                <c:pt idx="157">
                  <c:v>7.64</c:v>
                </c:pt>
                <c:pt idx="158">
                  <c:v>5.89</c:v>
                </c:pt>
                <c:pt idx="159">
                  <c:v>6.8</c:v>
                </c:pt>
                <c:pt idx="160">
                  <c:v>7.3599999999999897</c:v>
                </c:pt>
                <c:pt idx="161">
                  <c:v>5.8999999999999897</c:v>
                </c:pt>
                <c:pt idx="162">
                  <c:v>8.2200000000000006</c:v>
                </c:pt>
                <c:pt idx="163">
                  <c:v>7.16</c:v>
                </c:pt>
                <c:pt idx="164">
                  <c:v>9.0299999999999994</c:v>
                </c:pt>
                <c:pt idx="165">
                  <c:v>7.52</c:v>
                </c:pt>
                <c:pt idx="166">
                  <c:v>5.6499999999999897</c:v>
                </c:pt>
                <c:pt idx="167">
                  <c:v>6.39</c:v>
                </c:pt>
                <c:pt idx="168">
                  <c:v>8.06</c:v>
                </c:pt>
                <c:pt idx="169">
                  <c:v>5.53</c:v>
                </c:pt>
                <c:pt idx="170">
                  <c:v>9.0399999999999991</c:v>
                </c:pt>
                <c:pt idx="171">
                  <c:v>8.41</c:v>
                </c:pt>
                <c:pt idx="172">
                  <c:v>8.02</c:v>
                </c:pt>
                <c:pt idx="173">
                  <c:v>7.67</c:v>
                </c:pt>
                <c:pt idx="174">
                  <c:v>6.92</c:v>
                </c:pt>
                <c:pt idx="175">
                  <c:v>5.59</c:v>
                </c:pt>
                <c:pt idx="176">
                  <c:v>7.78</c:v>
                </c:pt>
                <c:pt idx="177">
                  <c:v>7.49</c:v>
                </c:pt>
                <c:pt idx="178">
                  <c:v>9.27</c:v>
                </c:pt>
                <c:pt idx="179">
                  <c:v>6.37</c:v>
                </c:pt>
                <c:pt idx="180">
                  <c:v>8.7100000000000009</c:v>
                </c:pt>
                <c:pt idx="181">
                  <c:v>7.87</c:v>
                </c:pt>
                <c:pt idx="182">
                  <c:v>7.3999999999999897</c:v>
                </c:pt>
                <c:pt idx="183">
                  <c:v>5.85</c:v>
                </c:pt>
                <c:pt idx="184">
                  <c:v>9.14</c:v>
                </c:pt>
                <c:pt idx="185">
                  <c:v>6.09</c:v>
                </c:pt>
                <c:pt idx="186">
                  <c:v>8.57</c:v>
                </c:pt>
                <c:pt idx="187">
                  <c:v>6.3999999999999897</c:v>
                </c:pt>
                <c:pt idx="188">
                  <c:v>7.01</c:v>
                </c:pt>
                <c:pt idx="189">
                  <c:v>5.87</c:v>
                </c:pt>
                <c:pt idx="190">
                  <c:v>9.5399999999999991</c:v>
                </c:pt>
                <c:pt idx="191">
                  <c:v>6.55</c:v>
                </c:pt>
                <c:pt idx="192">
                  <c:v>8.68</c:v>
                </c:pt>
                <c:pt idx="193">
                  <c:v>6.2</c:v>
                </c:pt>
                <c:pt idx="194">
                  <c:v>7.43</c:v>
                </c:pt>
                <c:pt idx="195">
                  <c:v>8.74</c:v>
                </c:pt>
                <c:pt idx="196">
                  <c:v>7.8299999999999903</c:v>
                </c:pt>
                <c:pt idx="197">
                  <c:v>7.2299999999999898</c:v>
                </c:pt>
                <c:pt idx="198">
                  <c:v>7.75</c:v>
                </c:pt>
                <c:pt idx="199">
                  <c:v>8.23</c:v>
                </c:pt>
                <c:pt idx="200">
                  <c:v>7.66</c:v>
                </c:pt>
                <c:pt idx="201">
                  <c:v>5.33</c:v>
                </c:pt>
                <c:pt idx="202">
                  <c:v>5.76</c:v>
                </c:pt>
                <c:pt idx="203">
                  <c:v>6.58</c:v>
                </c:pt>
                <c:pt idx="204">
                  <c:v>5.6099999999999897</c:v>
                </c:pt>
                <c:pt idx="205">
                  <c:v>6.0699999999999896</c:v>
                </c:pt>
                <c:pt idx="206">
                  <c:v>7.42</c:v>
                </c:pt>
                <c:pt idx="207">
                  <c:v>8.7799999999999994</c:v>
                </c:pt>
                <c:pt idx="208">
                  <c:v>5.38</c:v>
                </c:pt>
                <c:pt idx="209">
                  <c:v>6.88</c:v>
                </c:pt>
                <c:pt idx="210">
                  <c:v>6.37</c:v>
                </c:pt>
                <c:pt idx="211">
                  <c:v>7.3199999999999896</c:v>
                </c:pt>
                <c:pt idx="212">
                  <c:v>7.8</c:v>
                </c:pt>
                <c:pt idx="213">
                  <c:v>8.67</c:v>
                </c:pt>
                <c:pt idx="214">
                  <c:v>5.6499999999999897</c:v>
                </c:pt>
                <c:pt idx="215">
                  <c:v>5.35</c:v>
                </c:pt>
                <c:pt idx="216">
                  <c:v>8.42</c:v>
                </c:pt>
                <c:pt idx="217">
                  <c:v>6.7</c:v>
                </c:pt>
                <c:pt idx="218">
                  <c:v>7.18</c:v>
                </c:pt>
                <c:pt idx="219">
                  <c:v>6.01</c:v>
                </c:pt>
                <c:pt idx="220">
                  <c:v>6.16</c:v>
                </c:pt>
                <c:pt idx="221">
                  <c:v>6.1</c:v>
                </c:pt>
                <c:pt idx="222">
                  <c:v>5.91</c:v>
                </c:pt>
                <c:pt idx="223">
                  <c:v>5.3</c:v>
                </c:pt>
                <c:pt idx="224">
                  <c:v>8.25</c:v>
                </c:pt>
                <c:pt idx="225">
                  <c:v>9.24</c:v>
                </c:pt>
                <c:pt idx="226">
                  <c:v>7.6099999999999897</c:v>
                </c:pt>
                <c:pt idx="227">
                  <c:v>9.14</c:v>
                </c:pt>
                <c:pt idx="228">
                  <c:v>7.02</c:v>
                </c:pt>
                <c:pt idx="229">
                  <c:v>6.56</c:v>
                </c:pt>
                <c:pt idx="230">
                  <c:v>6.68</c:v>
                </c:pt>
                <c:pt idx="231">
                  <c:v>8.5399999999999991</c:v>
                </c:pt>
                <c:pt idx="232">
                  <c:v>7.59</c:v>
                </c:pt>
                <c:pt idx="233">
                  <c:v>9.34</c:v>
                </c:pt>
                <c:pt idx="234">
                  <c:v>7.37</c:v>
                </c:pt>
                <c:pt idx="235">
                  <c:v>8.24</c:v>
                </c:pt>
                <c:pt idx="236">
                  <c:v>6.2299999999999898</c:v>
                </c:pt>
                <c:pt idx="237">
                  <c:v>7.9099999999999904</c:v>
                </c:pt>
                <c:pt idx="238">
                  <c:v>6.76</c:v>
                </c:pt>
                <c:pt idx="239">
                  <c:v>5.93</c:v>
                </c:pt>
                <c:pt idx="240">
                  <c:v>6.87</c:v>
                </c:pt>
                <c:pt idx="241">
                  <c:v>9.1999999999999993</c:v>
                </c:pt>
                <c:pt idx="242">
                  <c:v>8.3800000000000008</c:v>
                </c:pt>
                <c:pt idx="243">
                  <c:v>6.4799999999999898</c:v>
                </c:pt>
                <c:pt idx="244">
                  <c:v>9.57</c:v>
                </c:pt>
                <c:pt idx="245">
                  <c:v>6.03</c:v>
                </c:pt>
                <c:pt idx="246">
                  <c:v>8.3000000000000007</c:v>
                </c:pt>
                <c:pt idx="247">
                  <c:v>8.74</c:v>
                </c:pt>
                <c:pt idx="248">
                  <c:v>7.81</c:v>
                </c:pt>
                <c:pt idx="249">
                  <c:v>5.37</c:v>
                </c:pt>
                <c:pt idx="250">
                  <c:v>6.34</c:v>
                </c:pt>
                <c:pt idx="251">
                  <c:v>7.58</c:v>
                </c:pt>
                <c:pt idx="252">
                  <c:v>5.41</c:v>
                </c:pt>
                <c:pt idx="253">
                  <c:v>6.99</c:v>
                </c:pt>
                <c:pt idx="254">
                  <c:v>5.95</c:v>
                </c:pt>
                <c:pt idx="255">
                  <c:v>7.25</c:v>
                </c:pt>
                <c:pt idx="256">
                  <c:v>8.44</c:v>
                </c:pt>
                <c:pt idx="257">
                  <c:v>5.84</c:v>
                </c:pt>
                <c:pt idx="258">
                  <c:v>7.79</c:v>
                </c:pt>
                <c:pt idx="259">
                  <c:v>6.64</c:v>
                </c:pt>
                <c:pt idx="260">
                  <c:v>5.85</c:v>
                </c:pt>
                <c:pt idx="261">
                  <c:v>8.85</c:v>
                </c:pt>
                <c:pt idx="262">
                  <c:v>6.4799999999999898</c:v>
                </c:pt>
                <c:pt idx="263">
                  <c:v>5.9399999999999897</c:v>
                </c:pt>
                <c:pt idx="264">
                  <c:v>5.42</c:v>
                </c:pt>
                <c:pt idx="265">
                  <c:v>8.91</c:v>
                </c:pt>
                <c:pt idx="266">
                  <c:v>5.89</c:v>
                </c:pt>
                <c:pt idx="267">
                  <c:v>7.14</c:v>
                </c:pt>
                <c:pt idx="268">
                  <c:v>8.83</c:v>
                </c:pt>
                <c:pt idx="269">
                  <c:v>9.07</c:v>
                </c:pt>
                <c:pt idx="270">
                  <c:v>5.88</c:v>
                </c:pt>
                <c:pt idx="271">
                  <c:v>5.46</c:v>
                </c:pt>
                <c:pt idx="272">
                  <c:v>7.96</c:v>
                </c:pt>
                <c:pt idx="273">
                  <c:v>7.8999999999999897</c:v>
                </c:pt>
                <c:pt idx="274">
                  <c:v>7.64</c:v>
                </c:pt>
                <c:pt idx="275">
                  <c:v>6.75</c:v>
                </c:pt>
                <c:pt idx="276">
                  <c:v>5.51</c:v>
                </c:pt>
                <c:pt idx="277">
                  <c:v>7.64</c:v>
                </c:pt>
                <c:pt idx="278">
                  <c:v>5.79</c:v>
                </c:pt>
                <c:pt idx="279">
                  <c:v>6.04</c:v>
                </c:pt>
                <c:pt idx="280">
                  <c:v>6.08</c:v>
                </c:pt>
                <c:pt idx="281">
                  <c:v>8.92</c:v>
                </c:pt>
                <c:pt idx="282">
                  <c:v>7.64</c:v>
                </c:pt>
                <c:pt idx="283">
                  <c:v>6.99</c:v>
                </c:pt>
                <c:pt idx="284">
                  <c:v>5.71</c:v>
                </c:pt>
                <c:pt idx="285">
                  <c:v>6.6099999999999897</c:v>
                </c:pt>
                <c:pt idx="286">
                  <c:v>5.81</c:v>
                </c:pt>
                <c:pt idx="287">
                  <c:v>7.75</c:v>
                </c:pt>
                <c:pt idx="288">
                  <c:v>7.25</c:v>
                </c:pt>
                <c:pt idx="289">
                  <c:v>8.2799999999999994</c:v>
                </c:pt>
                <c:pt idx="290">
                  <c:v>7.33</c:v>
                </c:pt>
                <c:pt idx="291">
                  <c:v>5.3199999999999896</c:v>
                </c:pt>
                <c:pt idx="292">
                  <c:v>6.1499999999999897</c:v>
                </c:pt>
                <c:pt idx="293">
                  <c:v>6.72</c:v>
                </c:pt>
                <c:pt idx="294">
                  <c:v>9.2100000000000009</c:v>
                </c:pt>
                <c:pt idx="295">
                  <c:v>5.6499999999999897</c:v>
                </c:pt>
                <c:pt idx="296">
                  <c:v>6.34</c:v>
                </c:pt>
                <c:pt idx="297">
                  <c:v>9.44</c:v>
                </c:pt>
                <c:pt idx="298">
                  <c:v>6.6499999999999897</c:v>
                </c:pt>
                <c:pt idx="299">
                  <c:v>7.31</c:v>
                </c:pt>
                <c:pt idx="300">
                  <c:v>7.6899999999999897</c:v>
                </c:pt>
                <c:pt idx="301">
                  <c:v>9.25</c:v>
                </c:pt>
                <c:pt idx="302">
                  <c:v>5.49</c:v>
                </c:pt>
                <c:pt idx="303">
                  <c:v>5.91</c:v>
                </c:pt>
                <c:pt idx="304">
                  <c:v>8.01</c:v>
                </c:pt>
                <c:pt idx="305">
                  <c:v>8.15</c:v>
                </c:pt>
                <c:pt idx="306">
                  <c:v>7.46</c:v>
                </c:pt>
                <c:pt idx="307">
                  <c:v>6.08</c:v>
                </c:pt>
                <c:pt idx="308">
                  <c:v>7.31</c:v>
                </c:pt>
                <c:pt idx="309">
                  <c:v>7.13</c:v>
                </c:pt>
                <c:pt idx="310">
                  <c:v>6.1499999999999897</c:v>
                </c:pt>
                <c:pt idx="311">
                  <c:v>6.59</c:v>
                </c:pt>
                <c:pt idx="312">
                  <c:v>7</c:v>
                </c:pt>
                <c:pt idx="313">
                  <c:v>8.98</c:v>
                </c:pt>
                <c:pt idx="314">
                  <c:v>5.75</c:v>
                </c:pt>
                <c:pt idx="315">
                  <c:v>6.74</c:v>
                </c:pt>
                <c:pt idx="316">
                  <c:v>6</c:v>
                </c:pt>
                <c:pt idx="317">
                  <c:v>9.18</c:v>
                </c:pt>
                <c:pt idx="318">
                  <c:v>5.35</c:v>
                </c:pt>
                <c:pt idx="319">
                  <c:v>9.4700000000000006</c:v>
                </c:pt>
                <c:pt idx="320">
                  <c:v>7.3199999999999896</c:v>
                </c:pt>
                <c:pt idx="321">
                  <c:v>7.28</c:v>
                </c:pt>
                <c:pt idx="322">
                  <c:v>7.41</c:v>
                </c:pt>
                <c:pt idx="323">
                  <c:v>9.24</c:v>
                </c:pt>
                <c:pt idx="324">
                  <c:v>5.75</c:v>
                </c:pt>
                <c:pt idx="325">
                  <c:v>9.32</c:v>
                </c:pt>
                <c:pt idx="326">
                  <c:v>8.61</c:v>
                </c:pt>
                <c:pt idx="327">
                  <c:v>7.6499999999999897</c:v>
                </c:pt>
                <c:pt idx="328">
                  <c:v>9.3000000000000007</c:v>
                </c:pt>
                <c:pt idx="329">
                  <c:v>7.28</c:v>
                </c:pt>
                <c:pt idx="330">
                  <c:v>5.38</c:v>
                </c:pt>
                <c:pt idx="331">
                  <c:v>7.75</c:v>
                </c:pt>
                <c:pt idx="332">
                  <c:v>6.1</c:v>
                </c:pt>
                <c:pt idx="333">
                  <c:v>6.97</c:v>
                </c:pt>
                <c:pt idx="334">
                  <c:v>9.3699999999999992</c:v>
                </c:pt>
                <c:pt idx="335">
                  <c:v>7.59</c:v>
                </c:pt>
                <c:pt idx="336">
                  <c:v>7.87</c:v>
                </c:pt>
                <c:pt idx="337">
                  <c:v>5.55</c:v>
                </c:pt>
                <c:pt idx="338">
                  <c:v>6.34</c:v>
                </c:pt>
                <c:pt idx="339">
                  <c:v>8.89</c:v>
                </c:pt>
                <c:pt idx="340">
                  <c:v>9.33</c:v>
                </c:pt>
                <c:pt idx="341">
                  <c:v>7.0699999999999896</c:v>
                </c:pt>
                <c:pt idx="342">
                  <c:v>8.92</c:v>
                </c:pt>
                <c:pt idx="343">
                  <c:v>5.63</c:v>
                </c:pt>
                <c:pt idx="344">
                  <c:v>6.13</c:v>
                </c:pt>
                <c:pt idx="345">
                  <c:v>9.07</c:v>
                </c:pt>
                <c:pt idx="346">
                  <c:v>9.09</c:v>
                </c:pt>
                <c:pt idx="347">
                  <c:v>9.51</c:v>
                </c:pt>
                <c:pt idx="348">
                  <c:v>6.53</c:v>
                </c:pt>
                <c:pt idx="349">
                  <c:v>6.29</c:v>
                </c:pt>
                <c:pt idx="350">
                  <c:v>5.6</c:v>
                </c:pt>
                <c:pt idx="351">
                  <c:v>8.1199999999999992</c:v>
                </c:pt>
                <c:pt idx="352">
                  <c:v>5.72</c:v>
                </c:pt>
                <c:pt idx="353">
                  <c:v>7.7</c:v>
                </c:pt>
                <c:pt idx="354">
                  <c:v>6.71</c:v>
                </c:pt>
                <c:pt idx="355">
                  <c:v>5.6099999999999897</c:v>
                </c:pt>
                <c:pt idx="356">
                  <c:v>6.17</c:v>
                </c:pt>
                <c:pt idx="357">
                  <c:v>5.63</c:v>
                </c:pt>
                <c:pt idx="358">
                  <c:v>6.31</c:v>
                </c:pt>
                <c:pt idx="359">
                  <c:v>8.68</c:v>
                </c:pt>
                <c:pt idx="360">
                  <c:v>9.5299999999999994</c:v>
                </c:pt>
                <c:pt idx="361">
                  <c:v>6</c:v>
                </c:pt>
                <c:pt idx="362">
                  <c:v>7.8999999999999897</c:v>
                </c:pt>
                <c:pt idx="363">
                  <c:v>8.7200000000000006</c:v>
                </c:pt>
                <c:pt idx="364">
                  <c:v>7.9899999999999904</c:v>
                </c:pt>
                <c:pt idx="365">
                  <c:v>6.3599999999999897</c:v>
                </c:pt>
                <c:pt idx="366">
                  <c:v>6.02</c:v>
                </c:pt>
                <c:pt idx="367">
                  <c:v>5.56</c:v>
                </c:pt>
                <c:pt idx="368">
                  <c:v>6.39</c:v>
                </c:pt>
                <c:pt idx="369">
                  <c:v>7.14</c:v>
                </c:pt>
                <c:pt idx="370">
                  <c:v>8.93</c:v>
                </c:pt>
                <c:pt idx="371">
                  <c:v>7.03</c:v>
                </c:pt>
                <c:pt idx="372">
                  <c:v>5.96</c:v>
                </c:pt>
                <c:pt idx="373">
                  <c:v>7.3199999999999896</c:v>
                </c:pt>
                <c:pt idx="374">
                  <c:v>8.24</c:v>
                </c:pt>
                <c:pt idx="375">
                  <c:v>7.54</c:v>
                </c:pt>
                <c:pt idx="376">
                  <c:v>6.75</c:v>
                </c:pt>
                <c:pt idx="377">
                  <c:v>8.8000000000000007</c:v>
                </c:pt>
                <c:pt idx="378">
                  <c:v>8.8800000000000008</c:v>
                </c:pt>
                <c:pt idx="379">
                  <c:v>5.56</c:v>
                </c:pt>
                <c:pt idx="380">
                  <c:v>7.6499999999999897</c:v>
                </c:pt>
                <c:pt idx="381">
                  <c:v>9.48</c:v>
                </c:pt>
                <c:pt idx="382">
                  <c:v>5.54</c:v>
                </c:pt>
                <c:pt idx="383">
                  <c:v>7.76</c:v>
                </c:pt>
                <c:pt idx="384">
                  <c:v>5.31</c:v>
                </c:pt>
                <c:pt idx="385">
                  <c:v>6.62</c:v>
                </c:pt>
                <c:pt idx="386">
                  <c:v>8.15</c:v>
                </c:pt>
                <c:pt idx="387">
                  <c:v>7.53</c:v>
                </c:pt>
                <c:pt idx="388">
                  <c:v>9.41</c:v>
                </c:pt>
                <c:pt idx="389">
                  <c:v>5.41</c:v>
                </c:pt>
                <c:pt idx="390">
                  <c:v>7.72</c:v>
                </c:pt>
                <c:pt idx="391">
                  <c:v>5.63</c:v>
                </c:pt>
                <c:pt idx="392">
                  <c:v>6.97</c:v>
                </c:pt>
                <c:pt idx="393">
                  <c:v>8.0500000000000007</c:v>
                </c:pt>
                <c:pt idx="394">
                  <c:v>7.78</c:v>
                </c:pt>
                <c:pt idx="395">
                  <c:v>6.01</c:v>
                </c:pt>
                <c:pt idx="396">
                  <c:v>6.77</c:v>
                </c:pt>
                <c:pt idx="397">
                  <c:v>7.09</c:v>
                </c:pt>
                <c:pt idx="398">
                  <c:v>7.5699999999999896</c:v>
                </c:pt>
                <c:pt idx="399">
                  <c:v>7.6499999999999897</c:v>
                </c:pt>
                <c:pt idx="400">
                  <c:v>7.85</c:v>
                </c:pt>
                <c:pt idx="401">
                  <c:v>6.3</c:v>
                </c:pt>
                <c:pt idx="402">
                  <c:v>6.9399999999999897</c:v>
                </c:pt>
                <c:pt idx="403">
                  <c:v>7.59</c:v>
                </c:pt>
                <c:pt idx="404">
                  <c:v>7.97</c:v>
                </c:pt>
                <c:pt idx="405">
                  <c:v>7.56</c:v>
                </c:pt>
                <c:pt idx="406">
                  <c:v>7.27</c:v>
                </c:pt>
                <c:pt idx="407">
                  <c:v>9.57</c:v>
                </c:pt>
                <c:pt idx="408">
                  <c:v>7.4799999999999898</c:v>
                </c:pt>
                <c:pt idx="409">
                  <c:v>6.7</c:v>
                </c:pt>
                <c:pt idx="410">
                  <c:v>6.75</c:v>
                </c:pt>
                <c:pt idx="411">
                  <c:v>5.8599999999999897</c:v>
                </c:pt>
                <c:pt idx="412">
                  <c:v>7.46</c:v>
                </c:pt>
                <c:pt idx="413">
                  <c:v>6.96</c:v>
                </c:pt>
                <c:pt idx="414">
                  <c:v>8.5399999999999991</c:v>
                </c:pt>
                <c:pt idx="415">
                  <c:v>7.59</c:v>
                </c:pt>
                <c:pt idx="416">
                  <c:v>5.43</c:v>
                </c:pt>
                <c:pt idx="417">
                  <c:v>5.55</c:v>
                </c:pt>
                <c:pt idx="418">
                  <c:v>5.91</c:v>
                </c:pt>
                <c:pt idx="419">
                  <c:v>5.4399999999999897</c:v>
                </c:pt>
                <c:pt idx="420">
                  <c:v>5.6</c:v>
                </c:pt>
                <c:pt idx="421">
                  <c:v>5.58</c:v>
                </c:pt>
                <c:pt idx="422">
                  <c:v>8.91</c:v>
                </c:pt>
                <c:pt idx="423">
                  <c:v>6.16</c:v>
                </c:pt>
                <c:pt idx="424">
                  <c:v>7.94</c:v>
                </c:pt>
                <c:pt idx="425">
                  <c:v>7.06</c:v>
                </c:pt>
                <c:pt idx="426">
                  <c:v>6.63</c:v>
                </c:pt>
                <c:pt idx="427">
                  <c:v>6.37</c:v>
                </c:pt>
                <c:pt idx="428">
                  <c:v>5.7</c:v>
                </c:pt>
                <c:pt idx="429">
                  <c:v>7.8399999999999901</c:v>
                </c:pt>
                <c:pt idx="430">
                  <c:v>6.9399999999999897</c:v>
                </c:pt>
                <c:pt idx="431">
                  <c:v>9.09</c:v>
                </c:pt>
                <c:pt idx="432">
                  <c:v>6.0699999999999896</c:v>
                </c:pt>
                <c:pt idx="433">
                  <c:v>8.77</c:v>
                </c:pt>
                <c:pt idx="434">
                  <c:v>5.63</c:v>
                </c:pt>
                <c:pt idx="435">
                  <c:v>6.64</c:v>
                </c:pt>
                <c:pt idx="436">
                  <c:v>7.22</c:v>
                </c:pt>
                <c:pt idx="437">
                  <c:v>5.88</c:v>
                </c:pt>
                <c:pt idx="438">
                  <c:v>6.13</c:v>
                </c:pt>
                <c:pt idx="439">
                  <c:v>7.38</c:v>
                </c:pt>
                <c:pt idx="440">
                  <c:v>7.3599999999999897</c:v>
                </c:pt>
                <c:pt idx="441">
                  <c:v>8.81</c:v>
                </c:pt>
                <c:pt idx="442">
                  <c:v>7.18</c:v>
                </c:pt>
                <c:pt idx="443">
                  <c:v>7.24</c:v>
                </c:pt>
                <c:pt idx="444">
                  <c:v>5.67</c:v>
                </c:pt>
                <c:pt idx="445">
                  <c:v>6.95</c:v>
                </c:pt>
                <c:pt idx="446">
                  <c:v>9.24</c:v>
                </c:pt>
                <c:pt idx="447">
                  <c:v>8.9499999999999993</c:v>
                </c:pt>
                <c:pt idx="448">
                  <c:v>6.45</c:v>
                </c:pt>
                <c:pt idx="449">
                  <c:v>5.3</c:v>
                </c:pt>
                <c:pt idx="450">
                  <c:v>7.42</c:v>
                </c:pt>
                <c:pt idx="451">
                  <c:v>8.7899999999999991</c:v>
                </c:pt>
                <c:pt idx="452">
                  <c:v>8.31</c:v>
                </c:pt>
                <c:pt idx="453">
                  <c:v>6.6099999999999897</c:v>
                </c:pt>
                <c:pt idx="454">
                  <c:v>7.94</c:v>
                </c:pt>
                <c:pt idx="455">
                  <c:v>8.67</c:v>
                </c:pt>
                <c:pt idx="456">
                  <c:v>7.14</c:v>
                </c:pt>
                <c:pt idx="457">
                  <c:v>5.58</c:v>
                </c:pt>
                <c:pt idx="458">
                  <c:v>6.2</c:v>
                </c:pt>
                <c:pt idx="459">
                  <c:v>9.18</c:v>
                </c:pt>
                <c:pt idx="460">
                  <c:v>6.49</c:v>
                </c:pt>
                <c:pt idx="461">
                  <c:v>6.1899999999999897</c:v>
                </c:pt>
                <c:pt idx="462">
                  <c:v>9.3800000000000008</c:v>
                </c:pt>
                <c:pt idx="463">
                  <c:v>7.05</c:v>
                </c:pt>
                <c:pt idx="464">
                  <c:v>5.99</c:v>
                </c:pt>
                <c:pt idx="465">
                  <c:v>7.93</c:v>
                </c:pt>
                <c:pt idx="466">
                  <c:v>6.76</c:v>
                </c:pt>
                <c:pt idx="467">
                  <c:v>7.89</c:v>
                </c:pt>
                <c:pt idx="468">
                  <c:v>9.51</c:v>
                </c:pt>
                <c:pt idx="469">
                  <c:v>6.01</c:v>
                </c:pt>
                <c:pt idx="470">
                  <c:v>6.31</c:v>
                </c:pt>
                <c:pt idx="471">
                  <c:v>7.51</c:v>
                </c:pt>
                <c:pt idx="472">
                  <c:v>6.22</c:v>
                </c:pt>
                <c:pt idx="473">
                  <c:v>6.01</c:v>
                </c:pt>
                <c:pt idx="474">
                  <c:v>7.1899999999999897</c:v>
                </c:pt>
                <c:pt idx="475">
                  <c:v>8.25</c:v>
                </c:pt>
                <c:pt idx="476">
                  <c:v>6.6499999999999897</c:v>
                </c:pt>
                <c:pt idx="477">
                  <c:v>8.7899999999999991</c:v>
                </c:pt>
                <c:pt idx="478">
                  <c:v>6.01</c:v>
                </c:pt>
                <c:pt idx="479">
                  <c:v>6.53</c:v>
                </c:pt>
                <c:pt idx="480">
                  <c:v>6.96</c:v>
                </c:pt>
                <c:pt idx="481">
                  <c:v>7.21</c:v>
                </c:pt>
                <c:pt idx="482">
                  <c:v>5.89</c:v>
                </c:pt>
                <c:pt idx="483">
                  <c:v>7.8</c:v>
                </c:pt>
                <c:pt idx="484">
                  <c:v>8.08</c:v>
                </c:pt>
                <c:pt idx="485">
                  <c:v>5.59</c:v>
                </c:pt>
                <c:pt idx="486">
                  <c:v>9.34</c:v>
                </c:pt>
                <c:pt idx="487">
                  <c:v>8.02</c:v>
                </c:pt>
                <c:pt idx="488">
                  <c:v>6.38</c:v>
                </c:pt>
                <c:pt idx="489">
                  <c:v>7.3599999999999897</c:v>
                </c:pt>
                <c:pt idx="490">
                  <c:v>6.35</c:v>
                </c:pt>
                <c:pt idx="491">
                  <c:v>8.58</c:v>
                </c:pt>
                <c:pt idx="492">
                  <c:v>6.7299999999999898</c:v>
                </c:pt>
                <c:pt idx="493">
                  <c:v>6.1899999999999897</c:v>
                </c:pt>
                <c:pt idx="494">
                  <c:v>9.02</c:v>
                </c:pt>
                <c:pt idx="495">
                  <c:v>6.51</c:v>
                </c:pt>
                <c:pt idx="496">
                  <c:v>6.01</c:v>
                </c:pt>
                <c:pt idx="497">
                  <c:v>7.51</c:v>
                </c:pt>
                <c:pt idx="498">
                  <c:v>7.3</c:v>
                </c:pt>
                <c:pt idx="499">
                  <c:v>7.16</c:v>
                </c:pt>
                <c:pt idx="500">
                  <c:v>7.22</c:v>
                </c:pt>
                <c:pt idx="501">
                  <c:v>6.79</c:v>
                </c:pt>
                <c:pt idx="502">
                  <c:v>9.1</c:v>
                </c:pt>
                <c:pt idx="503">
                  <c:v>7.67</c:v>
                </c:pt>
                <c:pt idx="504">
                  <c:v>9.08</c:v>
                </c:pt>
                <c:pt idx="505">
                  <c:v>9.2899999999999991</c:v>
                </c:pt>
                <c:pt idx="506">
                  <c:v>5.85</c:v>
                </c:pt>
                <c:pt idx="507">
                  <c:v>7.68</c:v>
                </c:pt>
                <c:pt idx="508">
                  <c:v>7.93</c:v>
                </c:pt>
                <c:pt idx="509">
                  <c:v>6.54</c:v>
                </c:pt>
                <c:pt idx="510">
                  <c:v>6.14</c:v>
                </c:pt>
                <c:pt idx="511">
                  <c:v>7.64</c:v>
                </c:pt>
                <c:pt idx="512">
                  <c:v>9.32</c:v>
                </c:pt>
                <c:pt idx="513">
                  <c:v>5.78</c:v>
                </c:pt>
                <c:pt idx="514">
                  <c:v>8.9600000000000009</c:v>
                </c:pt>
                <c:pt idx="515">
                  <c:v>5.46</c:v>
                </c:pt>
                <c:pt idx="516">
                  <c:v>5.56</c:v>
                </c:pt>
                <c:pt idx="517">
                  <c:v>8.6300000000000008</c:v>
                </c:pt>
                <c:pt idx="518">
                  <c:v>6.62</c:v>
                </c:pt>
                <c:pt idx="519">
                  <c:v>5.7299999999999898</c:v>
                </c:pt>
                <c:pt idx="520">
                  <c:v>7.76</c:v>
                </c:pt>
                <c:pt idx="521">
                  <c:v>6.92</c:v>
                </c:pt>
                <c:pt idx="522">
                  <c:v>8.3699999999999992</c:v>
                </c:pt>
                <c:pt idx="523">
                  <c:v>8.19</c:v>
                </c:pt>
                <c:pt idx="524">
                  <c:v>7.28</c:v>
                </c:pt>
                <c:pt idx="525">
                  <c:v>6.3999999999999897</c:v>
                </c:pt>
                <c:pt idx="526">
                  <c:v>5.8999999999999897</c:v>
                </c:pt>
                <c:pt idx="527">
                  <c:v>6.52</c:v>
                </c:pt>
                <c:pt idx="528">
                  <c:v>5.6099999999999897</c:v>
                </c:pt>
                <c:pt idx="529">
                  <c:v>5.3999999999999897</c:v>
                </c:pt>
                <c:pt idx="530">
                  <c:v>6.3999999999999897</c:v>
                </c:pt>
                <c:pt idx="531">
                  <c:v>7.0699999999999896</c:v>
                </c:pt>
                <c:pt idx="532">
                  <c:v>5.68</c:v>
                </c:pt>
                <c:pt idx="533">
                  <c:v>7.62</c:v>
                </c:pt>
                <c:pt idx="534">
                  <c:v>5.99</c:v>
                </c:pt>
                <c:pt idx="535">
                  <c:v>8.15</c:v>
                </c:pt>
                <c:pt idx="536">
                  <c:v>5.93</c:v>
                </c:pt>
                <c:pt idx="537">
                  <c:v>5.99</c:v>
                </c:pt>
                <c:pt idx="538">
                  <c:v>7.2</c:v>
                </c:pt>
                <c:pt idx="539">
                  <c:v>8.4700000000000006</c:v>
                </c:pt>
                <c:pt idx="540">
                  <c:v>7.63</c:v>
                </c:pt>
                <c:pt idx="541">
                  <c:v>7.74</c:v>
                </c:pt>
                <c:pt idx="542">
                  <c:v>5.62</c:v>
                </c:pt>
                <c:pt idx="543">
                  <c:v>6.29</c:v>
                </c:pt>
                <c:pt idx="544">
                  <c:v>5.79</c:v>
                </c:pt>
              </c:numCache>
            </c:numRef>
          </c:xVal>
          <c:yVal>
            <c:numRef>
              <c:f>Cleaned_Data!$M$2:$M$546</c:f>
              <c:numCache>
                <c:formatCode>General</c:formatCode>
                <c:ptCount val="545"/>
                <c:pt idx="0">
                  <c:v>7.6999999999999993</c:v>
                </c:pt>
                <c:pt idx="1">
                  <c:v>4.4000000000000004</c:v>
                </c:pt>
                <c:pt idx="2">
                  <c:v>2.1</c:v>
                </c:pt>
                <c:pt idx="3">
                  <c:v>4.5999999999999996</c:v>
                </c:pt>
                <c:pt idx="4">
                  <c:v>4.6999999999999993</c:v>
                </c:pt>
                <c:pt idx="5">
                  <c:v>9.1000000000000014</c:v>
                </c:pt>
                <c:pt idx="6">
                  <c:v>8.5</c:v>
                </c:pt>
                <c:pt idx="7">
                  <c:v>7.9</c:v>
                </c:pt>
                <c:pt idx="8">
                  <c:v>5.4</c:v>
                </c:pt>
                <c:pt idx="9">
                  <c:v>2.7</c:v>
                </c:pt>
                <c:pt idx="10">
                  <c:v>8.5</c:v>
                </c:pt>
                <c:pt idx="11">
                  <c:v>6.3</c:v>
                </c:pt>
                <c:pt idx="12">
                  <c:v>2.3000000000000003</c:v>
                </c:pt>
                <c:pt idx="13">
                  <c:v>3.9000000000000004</c:v>
                </c:pt>
                <c:pt idx="14">
                  <c:v>8.5</c:v>
                </c:pt>
                <c:pt idx="15">
                  <c:v>6.3</c:v>
                </c:pt>
                <c:pt idx="16">
                  <c:v>5</c:v>
                </c:pt>
                <c:pt idx="17">
                  <c:v>5.2</c:v>
                </c:pt>
                <c:pt idx="18">
                  <c:v>2.6</c:v>
                </c:pt>
                <c:pt idx="19">
                  <c:v>4.9000000000000004</c:v>
                </c:pt>
                <c:pt idx="20">
                  <c:v>2.8</c:v>
                </c:pt>
                <c:pt idx="21">
                  <c:v>3.0999999999999996</c:v>
                </c:pt>
                <c:pt idx="22">
                  <c:v>6.5</c:v>
                </c:pt>
                <c:pt idx="23">
                  <c:v>2.6</c:v>
                </c:pt>
                <c:pt idx="24">
                  <c:v>8.1</c:v>
                </c:pt>
                <c:pt idx="25">
                  <c:v>5.9</c:v>
                </c:pt>
                <c:pt idx="26">
                  <c:v>7</c:v>
                </c:pt>
                <c:pt idx="27">
                  <c:v>5.8</c:v>
                </c:pt>
                <c:pt idx="28">
                  <c:v>8</c:v>
                </c:pt>
                <c:pt idx="29">
                  <c:v>3.3</c:v>
                </c:pt>
                <c:pt idx="30">
                  <c:v>2.1</c:v>
                </c:pt>
                <c:pt idx="31">
                  <c:v>5.5</c:v>
                </c:pt>
                <c:pt idx="32">
                  <c:v>5.3</c:v>
                </c:pt>
                <c:pt idx="33">
                  <c:v>6.1</c:v>
                </c:pt>
                <c:pt idx="34">
                  <c:v>2.7</c:v>
                </c:pt>
                <c:pt idx="35">
                  <c:v>5.1999999999999993</c:v>
                </c:pt>
                <c:pt idx="36">
                  <c:v>4.5999999999999996</c:v>
                </c:pt>
                <c:pt idx="37">
                  <c:v>6.2</c:v>
                </c:pt>
                <c:pt idx="38">
                  <c:v>2.7</c:v>
                </c:pt>
                <c:pt idx="39">
                  <c:v>8.6999999999999993</c:v>
                </c:pt>
                <c:pt idx="40">
                  <c:v>1.9</c:v>
                </c:pt>
                <c:pt idx="41">
                  <c:v>4.7</c:v>
                </c:pt>
                <c:pt idx="42">
                  <c:v>7.2</c:v>
                </c:pt>
                <c:pt idx="43">
                  <c:v>4.8000000000000007</c:v>
                </c:pt>
                <c:pt idx="44">
                  <c:v>3.7</c:v>
                </c:pt>
                <c:pt idx="45">
                  <c:v>2.6</c:v>
                </c:pt>
                <c:pt idx="46">
                  <c:v>2.4</c:v>
                </c:pt>
                <c:pt idx="47">
                  <c:v>7.1</c:v>
                </c:pt>
                <c:pt idx="48">
                  <c:v>6.2</c:v>
                </c:pt>
                <c:pt idx="49">
                  <c:v>4</c:v>
                </c:pt>
                <c:pt idx="50">
                  <c:v>3.7</c:v>
                </c:pt>
                <c:pt idx="51">
                  <c:v>3.3000000000000003</c:v>
                </c:pt>
                <c:pt idx="52">
                  <c:v>4.5</c:v>
                </c:pt>
                <c:pt idx="53">
                  <c:v>6</c:v>
                </c:pt>
                <c:pt idx="54">
                  <c:v>8.3999999999999986</c:v>
                </c:pt>
                <c:pt idx="55">
                  <c:v>9</c:v>
                </c:pt>
                <c:pt idx="56">
                  <c:v>3.3</c:v>
                </c:pt>
                <c:pt idx="57">
                  <c:v>7.6999999999999993</c:v>
                </c:pt>
                <c:pt idx="58">
                  <c:v>2.2000000000000002</c:v>
                </c:pt>
                <c:pt idx="59">
                  <c:v>6</c:v>
                </c:pt>
                <c:pt idx="60">
                  <c:v>3.1</c:v>
                </c:pt>
                <c:pt idx="61">
                  <c:v>7.5</c:v>
                </c:pt>
                <c:pt idx="62">
                  <c:v>2.5</c:v>
                </c:pt>
                <c:pt idx="63">
                  <c:v>7.3</c:v>
                </c:pt>
                <c:pt idx="64">
                  <c:v>9</c:v>
                </c:pt>
                <c:pt idx="65">
                  <c:v>6.4</c:v>
                </c:pt>
                <c:pt idx="66">
                  <c:v>2.5999999999999996</c:v>
                </c:pt>
                <c:pt idx="67">
                  <c:v>3.9</c:v>
                </c:pt>
                <c:pt idx="68">
                  <c:v>2.9000000000000004</c:v>
                </c:pt>
                <c:pt idx="69">
                  <c:v>8.3000000000000007</c:v>
                </c:pt>
                <c:pt idx="70">
                  <c:v>4.5</c:v>
                </c:pt>
                <c:pt idx="71">
                  <c:v>3.8</c:v>
                </c:pt>
                <c:pt idx="72">
                  <c:v>7</c:v>
                </c:pt>
                <c:pt idx="73">
                  <c:v>3.2</c:v>
                </c:pt>
                <c:pt idx="74">
                  <c:v>5.0999999999999996</c:v>
                </c:pt>
                <c:pt idx="75">
                  <c:v>6.6</c:v>
                </c:pt>
                <c:pt idx="76">
                  <c:v>3.5</c:v>
                </c:pt>
                <c:pt idx="77">
                  <c:v>6.1</c:v>
                </c:pt>
                <c:pt idx="78">
                  <c:v>8.3000000000000007</c:v>
                </c:pt>
                <c:pt idx="79">
                  <c:v>4.5999999999999996</c:v>
                </c:pt>
                <c:pt idx="80">
                  <c:v>7.9</c:v>
                </c:pt>
                <c:pt idx="81">
                  <c:v>2.5</c:v>
                </c:pt>
                <c:pt idx="82">
                  <c:v>6.1999999999999993</c:v>
                </c:pt>
                <c:pt idx="83">
                  <c:v>3</c:v>
                </c:pt>
                <c:pt idx="84">
                  <c:v>3.7</c:v>
                </c:pt>
                <c:pt idx="85">
                  <c:v>3</c:v>
                </c:pt>
                <c:pt idx="86">
                  <c:v>3.5</c:v>
                </c:pt>
                <c:pt idx="87">
                  <c:v>7.3</c:v>
                </c:pt>
                <c:pt idx="88">
                  <c:v>3.6</c:v>
                </c:pt>
                <c:pt idx="89">
                  <c:v>5.4</c:v>
                </c:pt>
                <c:pt idx="90">
                  <c:v>9.1000000000000014</c:v>
                </c:pt>
                <c:pt idx="91">
                  <c:v>1.9</c:v>
                </c:pt>
                <c:pt idx="92">
                  <c:v>7.7</c:v>
                </c:pt>
                <c:pt idx="93">
                  <c:v>5.0999999999999996</c:v>
                </c:pt>
                <c:pt idx="94">
                  <c:v>5.8</c:v>
                </c:pt>
                <c:pt idx="95">
                  <c:v>7.3999999999999995</c:v>
                </c:pt>
                <c:pt idx="96">
                  <c:v>5.1999999999999993</c:v>
                </c:pt>
                <c:pt idx="97">
                  <c:v>6</c:v>
                </c:pt>
                <c:pt idx="98">
                  <c:v>2.7</c:v>
                </c:pt>
                <c:pt idx="99">
                  <c:v>5.8000000000000007</c:v>
                </c:pt>
                <c:pt idx="100">
                  <c:v>3.1</c:v>
                </c:pt>
                <c:pt idx="101">
                  <c:v>7</c:v>
                </c:pt>
                <c:pt idx="102">
                  <c:v>3.7</c:v>
                </c:pt>
                <c:pt idx="103">
                  <c:v>2.8</c:v>
                </c:pt>
                <c:pt idx="104">
                  <c:v>4.8</c:v>
                </c:pt>
                <c:pt idx="105">
                  <c:v>4.0999999999999996</c:v>
                </c:pt>
                <c:pt idx="106">
                  <c:v>2.1</c:v>
                </c:pt>
                <c:pt idx="107">
                  <c:v>3.4000000000000004</c:v>
                </c:pt>
                <c:pt idx="108">
                  <c:v>8.6999999999999993</c:v>
                </c:pt>
                <c:pt idx="109">
                  <c:v>5.0999999999999996</c:v>
                </c:pt>
                <c:pt idx="110">
                  <c:v>2.1999999999999997</c:v>
                </c:pt>
                <c:pt idx="111">
                  <c:v>8.1999999999999993</c:v>
                </c:pt>
                <c:pt idx="112">
                  <c:v>7.9</c:v>
                </c:pt>
                <c:pt idx="113">
                  <c:v>7.7</c:v>
                </c:pt>
                <c:pt idx="114">
                  <c:v>7.4</c:v>
                </c:pt>
                <c:pt idx="115">
                  <c:v>5.2</c:v>
                </c:pt>
                <c:pt idx="116">
                  <c:v>6.4</c:v>
                </c:pt>
                <c:pt idx="117">
                  <c:v>5.1999999999999993</c:v>
                </c:pt>
                <c:pt idx="118">
                  <c:v>8.5</c:v>
                </c:pt>
                <c:pt idx="119">
                  <c:v>4.6999999999999993</c:v>
                </c:pt>
                <c:pt idx="120">
                  <c:v>3.9000000000000004</c:v>
                </c:pt>
                <c:pt idx="121">
                  <c:v>5.9</c:v>
                </c:pt>
                <c:pt idx="122">
                  <c:v>2.9</c:v>
                </c:pt>
                <c:pt idx="123">
                  <c:v>4.9000000000000004</c:v>
                </c:pt>
                <c:pt idx="124">
                  <c:v>3.7</c:v>
                </c:pt>
                <c:pt idx="125">
                  <c:v>6.3</c:v>
                </c:pt>
                <c:pt idx="126">
                  <c:v>2.2000000000000002</c:v>
                </c:pt>
                <c:pt idx="127">
                  <c:v>7.7</c:v>
                </c:pt>
                <c:pt idx="128">
                  <c:v>8.4</c:v>
                </c:pt>
                <c:pt idx="129">
                  <c:v>2.7</c:v>
                </c:pt>
                <c:pt idx="130">
                  <c:v>5.7</c:v>
                </c:pt>
                <c:pt idx="131">
                  <c:v>7.4</c:v>
                </c:pt>
                <c:pt idx="132">
                  <c:v>7.9</c:v>
                </c:pt>
                <c:pt idx="133">
                  <c:v>5.6</c:v>
                </c:pt>
                <c:pt idx="134">
                  <c:v>6.3</c:v>
                </c:pt>
                <c:pt idx="135">
                  <c:v>8.1999999999999993</c:v>
                </c:pt>
                <c:pt idx="136">
                  <c:v>5.9</c:v>
                </c:pt>
                <c:pt idx="137">
                  <c:v>2</c:v>
                </c:pt>
                <c:pt idx="138">
                  <c:v>5.2</c:v>
                </c:pt>
                <c:pt idx="139">
                  <c:v>3.4000000000000004</c:v>
                </c:pt>
                <c:pt idx="140">
                  <c:v>2.7</c:v>
                </c:pt>
                <c:pt idx="141">
                  <c:v>2.7</c:v>
                </c:pt>
                <c:pt idx="142">
                  <c:v>2.6</c:v>
                </c:pt>
                <c:pt idx="143">
                  <c:v>5.0999999999999996</c:v>
                </c:pt>
                <c:pt idx="144">
                  <c:v>8.3000000000000007</c:v>
                </c:pt>
                <c:pt idx="145">
                  <c:v>3.2</c:v>
                </c:pt>
                <c:pt idx="146">
                  <c:v>8.8000000000000007</c:v>
                </c:pt>
                <c:pt idx="147">
                  <c:v>3</c:v>
                </c:pt>
                <c:pt idx="148">
                  <c:v>5.5</c:v>
                </c:pt>
                <c:pt idx="149">
                  <c:v>4.7</c:v>
                </c:pt>
                <c:pt idx="150">
                  <c:v>2.2000000000000002</c:v>
                </c:pt>
                <c:pt idx="151">
                  <c:v>8.1999999999999993</c:v>
                </c:pt>
                <c:pt idx="152">
                  <c:v>2.6</c:v>
                </c:pt>
                <c:pt idx="153">
                  <c:v>8.1999999999999993</c:v>
                </c:pt>
                <c:pt idx="154">
                  <c:v>7.3</c:v>
                </c:pt>
                <c:pt idx="155">
                  <c:v>2.9000000000000004</c:v>
                </c:pt>
                <c:pt idx="156">
                  <c:v>6.6</c:v>
                </c:pt>
                <c:pt idx="157">
                  <c:v>6.1</c:v>
                </c:pt>
                <c:pt idx="158">
                  <c:v>3.6</c:v>
                </c:pt>
                <c:pt idx="159">
                  <c:v>4.8</c:v>
                </c:pt>
                <c:pt idx="160">
                  <c:v>5</c:v>
                </c:pt>
                <c:pt idx="161">
                  <c:v>2.1</c:v>
                </c:pt>
                <c:pt idx="162">
                  <c:v>7</c:v>
                </c:pt>
                <c:pt idx="163">
                  <c:v>6.4</c:v>
                </c:pt>
                <c:pt idx="164">
                  <c:v>7.3000000000000007</c:v>
                </c:pt>
                <c:pt idx="165">
                  <c:v>5.6</c:v>
                </c:pt>
                <c:pt idx="166">
                  <c:v>3.5</c:v>
                </c:pt>
                <c:pt idx="167">
                  <c:v>2.3000000000000003</c:v>
                </c:pt>
                <c:pt idx="168">
                  <c:v>7.5</c:v>
                </c:pt>
                <c:pt idx="169">
                  <c:v>3.0999999999999996</c:v>
                </c:pt>
                <c:pt idx="170">
                  <c:v>7.6</c:v>
                </c:pt>
                <c:pt idx="171">
                  <c:v>8.1</c:v>
                </c:pt>
                <c:pt idx="172">
                  <c:v>8.1999999999999993</c:v>
                </c:pt>
                <c:pt idx="173">
                  <c:v>6.1</c:v>
                </c:pt>
                <c:pt idx="174">
                  <c:v>4.9000000000000004</c:v>
                </c:pt>
                <c:pt idx="175">
                  <c:v>2.7</c:v>
                </c:pt>
                <c:pt idx="176">
                  <c:v>5.3000000000000007</c:v>
                </c:pt>
                <c:pt idx="177">
                  <c:v>5.5</c:v>
                </c:pt>
                <c:pt idx="178">
                  <c:v>8.4</c:v>
                </c:pt>
                <c:pt idx="179">
                  <c:v>4.0999999999999996</c:v>
                </c:pt>
                <c:pt idx="180">
                  <c:v>7.4</c:v>
                </c:pt>
                <c:pt idx="181">
                  <c:v>8.6000000000000014</c:v>
                </c:pt>
                <c:pt idx="182">
                  <c:v>4.9000000000000004</c:v>
                </c:pt>
                <c:pt idx="183">
                  <c:v>3.4</c:v>
                </c:pt>
                <c:pt idx="184">
                  <c:v>8.6</c:v>
                </c:pt>
                <c:pt idx="185">
                  <c:v>3.8</c:v>
                </c:pt>
                <c:pt idx="186">
                  <c:v>8.1</c:v>
                </c:pt>
                <c:pt idx="187">
                  <c:v>3.2</c:v>
                </c:pt>
                <c:pt idx="188">
                  <c:v>5.6</c:v>
                </c:pt>
                <c:pt idx="189">
                  <c:v>3.9</c:v>
                </c:pt>
                <c:pt idx="190">
                  <c:v>9.1999999999999993</c:v>
                </c:pt>
                <c:pt idx="191">
                  <c:v>3.4000000000000004</c:v>
                </c:pt>
                <c:pt idx="192">
                  <c:v>7.9</c:v>
                </c:pt>
                <c:pt idx="193">
                  <c:v>4.0999999999999996</c:v>
                </c:pt>
                <c:pt idx="194">
                  <c:v>4.5999999999999996</c:v>
                </c:pt>
                <c:pt idx="195">
                  <c:v>7.9</c:v>
                </c:pt>
                <c:pt idx="196">
                  <c:v>7.5</c:v>
                </c:pt>
                <c:pt idx="197">
                  <c:v>5.8</c:v>
                </c:pt>
                <c:pt idx="198">
                  <c:v>7.9</c:v>
                </c:pt>
                <c:pt idx="199">
                  <c:v>8.3999999999999986</c:v>
                </c:pt>
                <c:pt idx="200">
                  <c:v>4.8000000000000007</c:v>
                </c:pt>
                <c:pt idx="201">
                  <c:v>2.6</c:v>
                </c:pt>
                <c:pt idx="202">
                  <c:v>2</c:v>
                </c:pt>
                <c:pt idx="203">
                  <c:v>3.0999999999999996</c:v>
                </c:pt>
                <c:pt idx="204">
                  <c:v>3.5</c:v>
                </c:pt>
                <c:pt idx="205">
                  <c:v>3.8</c:v>
                </c:pt>
                <c:pt idx="206">
                  <c:v>6.2</c:v>
                </c:pt>
                <c:pt idx="207">
                  <c:v>7.4</c:v>
                </c:pt>
                <c:pt idx="208">
                  <c:v>3.4</c:v>
                </c:pt>
                <c:pt idx="209">
                  <c:v>5.3</c:v>
                </c:pt>
                <c:pt idx="210">
                  <c:v>2.5</c:v>
                </c:pt>
                <c:pt idx="211">
                  <c:v>5.4</c:v>
                </c:pt>
                <c:pt idx="212">
                  <c:v>5.8000000000000007</c:v>
                </c:pt>
                <c:pt idx="213">
                  <c:v>7.7</c:v>
                </c:pt>
                <c:pt idx="214">
                  <c:v>2.7</c:v>
                </c:pt>
                <c:pt idx="215">
                  <c:v>2.7</c:v>
                </c:pt>
                <c:pt idx="216">
                  <c:v>8.4</c:v>
                </c:pt>
                <c:pt idx="217">
                  <c:v>5.3</c:v>
                </c:pt>
                <c:pt idx="218">
                  <c:v>5.5</c:v>
                </c:pt>
                <c:pt idx="219">
                  <c:v>4.0999999999999996</c:v>
                </c:pt>
                <c:pt idx="220">
                  <c:v>3.3</c:v>
                </c:pt>
                <c:pt idx="221">
                  <c:v>4</c:v>
                </c:pt>
                <c:pt idx="222">
                  <c:v>2.2000000000000002</c:v>
                </c:pt>
                <c:pt idx="223">
                  <c:v>2.2999999999999998</c:v>
                </c:pt>
                <c:pt idx="224">
                  <c:v>8.3000000000000007</c:v>
                </c:pt>
                <c:pt idx="225">
                  <c:v>9</c:v>
                </c:pt>
                <c:pt idx="226">
                  <c:v>6</c:v>
                </c:pt>
                <c:pt idx="227">
                  <c:v>8.1</c:v>
                </c:pt>
                <c:pt idx="228">
                  <c:v>4.9000000000000004</c:v>
                </c:pt>
                <c:pt idx="229">
                  <c:v>2.5</c:v>
                </c:pt>
                <c:pt idx="230">
                  <c:v>6</c:v>
                </c:pt>
                <c:pt idx="231">
                  <c:v>7.9</c:v>
                </c:pt>
                <c:pt idx="232">
                  <c:v>5.4</c:v>
                </c:pt>
                <c:pt idx="233">
                  <c:v>8.4</c:v>
                </c:pt>
                <c:pt idx="234">
                  <c:v>6</c:v>
                </c:pt>
                <c:pt idx="235">
                  <c:v>6.8999999999999995</c:v>
                </c:pt>
                <c:pt idx="236">
                  <c:v>2.9000000000000004</c:v>
                </c:pt>
                <c:pt idx="237">
                  <c:v>8.1999999999999993</c:v>
                </c:pt>
                <c:pt idx="238">
                  <c:v>4.5</c:v>
                </c:pt>
                <c:pt idx="239">
                  <c:v>3.2</c:v>
                </c:pt>
                <c:pt idx="240">
                  <c:v>5</c:v>
                </c:pt>
                <c:pt idx="241">
                  <c:v>7.5</c:v>
                </c:pt>
                <c:pt idx="242">
                  <c:v>8.5</c:v>
                </c:pt>
                <c:pt idx="243">
                  <c:v>2.5</c:v>
                </c:pt>
                <c:pt idx="244">
                  <c:v>7.8</c:v>
                </c:pt>
                <c:pt idx="245">
                  <c:v>3.9000000000000004</c:v>
                </c:pt>
                <c:pt idx="246">
                  <c:v>8.3000000000000007</c:v>
                </c:pt>
                <c:pt idx="247">
                  <c:v>8.1999999999999993</c:v>
                </c:pt>
                <c:pt idx="248">
                  <c:v>7.7</c:v>
                </c:pt>
                <c:pt idx="249">
                  <c:v>2.2999999999999998</c:v>
                </c:pt>
                <c:pt idx="250">
                  <c:v>3.9000000000000004</c:v>
                </c:pt>
                <c:pt idx="251">
                  <c:v>5.3000000000000007</c:v>
                </c:pt>
                <c:pt idx="252">
                  <c:v>3.5</c:v>
                </c:pt>
                <c:pt idx="253">
                  <c:v>4.6999999999999993</c:v>
                </c:pt>
                <c:pt idx="254">
                  <c:v>4.0999999999999996</c:v>
                </c:pt>
                <c:pt idx="255">
                  <c:v>6.5</c:v>
                </c:pt>
                <c:pt idx="256">
                  <c:v>7.6</c:v>
                </c:pt>
                <c:pt idx="257">
                  <c:v>2.2000000000000002</c:v>
                </c:pt>
                <c:pt idx="258">
                  <c:v>6.5</c:v>
                </c:pt>
                <c:pt idx="259">
                  <c:v>4.8</c:v>
                </c:pt>
                <c:pt idx="260">
                  <c:v>2.6</c:v>
                </c:pt>
                <c:pt idx="261">
                  <c:v>7.7</c:v>
                </c:pt>
                <c:pt idx="262">
                  <c:v>3.9000000000000004</c:v>
                </c:pt>
                <c:pt idx="263">
                  <c:v>2.9</c:v>
                </c:pt>
                <c:pt idx="264">
                  <c:v>3.9</c:v>
                </c:pt>
                <c:pt idx="265">
                  <c:v>7.5</c:v>
                </c:pt>
                <c:pt idx="266">
                  <c:v>2.2000000000000002</c:v>
                </c:pt>
                <c:pt idx="267">
                  <c:v>6.4</c:v>
                </c:pt>
                <c:pt idx="268">
                  <c:v>7.5</c:v>
                </c:pt>
                <c:pt idx="269">
                  <c:v>8.9</c:v>
                </c:pt>
                <c:pt idx="270">
                  <c:v>3.8</c:v>
                </c:pt>
                <c:pt idx="271">
                  <c:v>2</c:v>
                </c:pt>
                <c:pt idx="272">
                  <c:v>7.4</c:v>
                </c:pt>
                <c:pt idx="273">
                  <c:v>8.5</c:v>
                </c:pt>
                <c:pt idx="274">
                  <c:v>4.8000000000000007</c:v>
                </c:pt>
                <c:pt idx="275">
                  <c:v>5.0999999999999996</c:v>
                </c:pt>
                <c:pt idx="276">
                  <c:v>3.5</c:v>
                </c:pt>
                <c:pt idx="277">
                  <c:v>5.9</c:v>
                </c:pt>
                <c:pt idx="278">
                  <c:v>2.1</c:v>
                </c:pt>
                <c:pt idx="279">
                  <c:v>2.9000000000000004</c:v>
                </c:pt>
                <c:pt idx="280">
                  <c:v>2.6</c:v>
                </c:pt>
                <c:pt idx="281">
                  <c:v>8.4</c:v>
                </c:pt>
                <c:pt idx="282">
                  <c:v>6.2</c:v>
                </c:pt>
                <c:pt idx="283">
                  <c:v>6</c:v>
                </c:pt>
                <c:pt idx="284">
                  <c:v>2.7</c:v>
                </c:pt>
                <c:pt idx="285">
                  <c:v>5</c:v>
                </c:pt>
                <c:pt idx="286">
                  <c:v>3.8</c:v>
                </c:pt>
                <c:pt idx="287">
                  <c:v>7.1999999999999993</c:v>
                </c:pt>
                <c:pt idx="288">
                  <c:v>5.5</c:v>
                </c:pt>
                <c:pt idx="289">
                  <c:v>8.6</c:v>
                </c:pt>
                <c:pt idx="290">
                  <c:v>5.3</c:v>
                </c:pt>
                <c:pt idx="291">
                  <c:v>2.1</c:v>
                </c:pt>
                <c:pt idx="292">
                  <c:v>2.4</c:v>
                </c:pt>
                <c:pt idx="293">
                  <c:v>6.1999999999999993</c:v>
                </c:pt>
                <c:pt idx="294">
                  <c:v>7.3000000000000007</c:v>
                </c:pt>
                <c:pt idx="295">
                  <c:v>3.7</c:v>
                </c:pt>
                <c:pt idx="296">
                  <c:v>3</c:v>
                </c:pt>
                <c:pt idx="297">
                  <c:v>8.1000000000000014</c:v>
                </c:pt>
                <c:pt idx="298">
                  <c:v>5</c:v>
                </c:pt>
                <c:pt idx="299">
                  <c:v>5.4</c:v>
                </c:pt>
                <c:pt idx="300">
                  <c:v>6.4</c:v>
                </c:pt>
                <c:pt idx="301">
                  <c:v>7.6000000000000005</c:v>
                </c:pt>
                <c:pt idx="302">
                  <c:v>3.3</c:v>
                </c:pt>
                <c:pt idx="303">
                  <c:v>2.8</c:v>
                </c:pt>
                <c:pt idx="304">
                  <c:v>7.3</c:v>
                </c:pt>
                <c:pt idx="305">
                  <c:v>7.8999999999999995</c:v>
                </c:pt>
                <c:pt idx="306">
                  <c:v>6</c:v>
                </c:pt>
                <c:pt idx="307">
                  <c:v>3.2</c:v>
                </c:pt>
                <c:pt idx="308">
                  <c:v>4.5999999999999996</c:v>
                </c:pt>
                <c:pt idx="309">
                  <c:v>4.6999999999999993</c:v>
                </c:pt>
                <c:pt idx="310">
                  <c:v>2.8</c:v>
                </c:pt>
                <c:pt idx="311">
                  <c:v>4.3</c:v>
                </c:pt>
                <c:pt idx="312">
                  <c:v>5.6999999999999993</c:v>
                </c:pt>
                <c:pt idx="313">
                  <c:v>8</c:v>
                </c:pt>
                <c:pt idx="314">
                  <c:v>3.5</c:v>
                </c:pt>
                <c:pt idx="315">
                  <c:v>6</c:v>
                </c:pt>
                <c:pt idx="316">
                  <c:v>2.5</c:v>
                </c:pt>
                <c:pt idx="317">
                  <c:v>7.6</c:v>
                </c:pt>
                <c:pt idx="318">
                  <c:v>3.5</c:v>
                </c:pt>
                <c:pt idx="319">
                  <c:v>8.6999999999999993</c:v>
                </c:pt>
                <c:pt idx="320">
                  <c:v>5.8</c:v>
                </c:pt>
                <c:pt idx="321">
                  <c:v>5.0999999999999996</c:v>
                </c:pt>
                <c:pt idx="322">
                  <c:v>4.7</c:v>
                </c:pt>
                <c:pt idx="323">
                  <c:v>7.8000000000000007</c:v>
                </c:pt>
                <c:pt idx="324">
                  <c:v>3.8</c:v>
                </c:pt>
                <c:pt idx="325">
                  <c:v>8.4</c:v>
                </c:pt>
                <c:pt idx="326">
                  <c:v>7.9</c:v>
                </c:pt>
                <c:pt idx="327">
                  <c:v>8.1999999999999993</c:v>
                </c:pt>
                <c:pt idx="328">
                  <c:v>7.5</c:v>
                </c:pt>
                <c:pt idx="329">
                  <c:v>6.2</c:v>
                </c:pt>
                <c:pt idx="330">
                  <c:v>1.9</c:v>
                </c:pt>
                <c:pt idx="331">
                  <c:v>7.6</c:v>
                </c:pt>
                <c:pt idx="332">
                  <c:v>4</c:v>
                </c:pt>
                <c:pt idx="333">
                  <c:v>4.6999999999999993</c:v>
                </c:pt>
                <c:pt idx="334">
                  <c:v>8.4</c:v>
                </c:pt>
                <c:pt idx="335">
                  <c:v>6.1</c:v>
                </c:pt>
                <c:pt idx="336">
                  <c:v>7.2</c:v>
                </c:pt>
                <c:pt idx="337">
                  <c:v>3.8</c:v>
                </c:pt>
                <c:pt idx="338">
                  <c:v>2.3000000000000003</c:v>
                </c:pt>
                <c:pt idx="339">
                  <c:v>7.4</c:v>
                </c:pt>
                <c:pt idx="340">
                  <c:v>8.4</c:v>
                </c:pt>
                <c:pt idx="341">
                  <c:v>6.1</c:v>
                </c:pt>
                <c:pt idx="342">
                  <c:v>8.4</c:v>
                </c:pt>
                <c:pt idx="343">
                  <c:v>2.2999999999999998</c:v>
                </c:pt>
                <c:pt idx="344">
                  <c:v>2.7</c:v>
                </c:pt>
                <c:pt idx="345">
                  <c:v>8.1999999999999993</c:v>
                </c:pt>
                <c:pt idx="346">
                  <c:v>8.9</c:v>
                </c:pt>
                <c:pt idx="347">
                  <c:v>9.1000000000000014</c:v>
                </c:pt>
                <c:pt idx="348">
                  <c:v>2.4000000000000004</c:v>
                </c:pt>
                <c:pt idx="349">
                  <c:v>4.2</c:v>
                </c:pt>
                <c:pt idx="350">
                  <c:v>3.2</c:v>
                </c:pt>
                <c:pt idx="351">
                  <c:v>7.3</c:v>
                </c:pt>
                <c:pt idx="352">
                  <c:v>2.6</c:v>
                </c:pt>
                <c:pt idx="353">
                  <c:v>5.7</c:v>
                </c:pt>
                <c:pt idx="354">
                  <c:v>4.6999999999999993</c:v>
                </c:pt>
                <c:pt idx="355">
                  <c:v>2.1999999999999997</c:v>
                </c:pt>
                <c:pt idx="356">
                  <c:v>2.1</c:v>
                </c:pt>
                <c:pt idx="357">
                  <c:v>2.4</c:v>
                </c:pt>
                <c:pt idx="358">
                  <c:v>3.8000000000000003</c:v>
                </c:pt>
                <c:pt idx="359">
                  <c:v>7.4</c:v>
                </c:pt>
                <c:pt idx="360">
                  <c:v>8.6000000000000014</c:v>
                </c:pt>
                <c:pt idx="361">
                  <c:v>3.7</c:v>
                </c:pt>
                <c:pt idx="362">
                  <c:v>8.1000000000000014</c:v>
                </c:pt>
                <c:pt idx="363">
                  <c:v>8</c:v>
                </c:pt>
                <c:pt idx="364">
                  <c:v>7</c:v>
                </c:pt>
                <c:pt idx="365">
                  <c:v>3.7</c:v>
                </c:pt>
                <c:pt idx="366">
                  <c:v>3.4000000000000004</c:v>
                </c:pt>
                <c:pt idx="367">
                  <c:v>3.4</c:v>
                </c:pt>
                <c:pt idx="368">
                  <c:v>3.7</c:v>
                </c:pt>
                <c:pt idx="369">
                  <c:v>6.1999999999999993</c:v>
                </c:pt>
                <c:pt idx="370">
                  <c:v>8.1999999999999993</c:v>
                </c:pt>
                <c:pt idx="371">
                  <c:v>4.6999999999999993</c:v>
                </c:pt>
                <c:pt idx="372">
                  <c:v>2.9000000000000004</c:v>
                </c:pt>
                <c:pt idx="373">
                  <c:v>5.0999999999999996</c:v>
                </c:pt>
                <c:pt idx="374">
                  <c:v>8.6999999999999993</c:v>
                </c:pt>
                <c:pt idx="375">
                  <c:v>6.6</c:v>
                </c:pt>
                <c:pt idx="376">
                  <c:v>6.1</c:v>
                </c:pt>
                <c:pt idx="377">
                  <c:v>7.7</c:v>
                </c:pt>
                <c:pt idx="378">
                  <c:v>8</c:v>
                </c:pt>
                <c:pt idx="379">
                  <c:v>2.1999999999999997</c:v>
                </c:pt>
                <c:pt idx="380">
                  <c:v>8.4</c:v>
                </c:pt>
                <c:pt idx="381">
                  <c:v>7.4</c:v>
                </c:pt>
                <c:pt idx="382">
                  <c:v>2.8</c:v>
                </c:pt>
                <c:pt idx="383">
                  <c:v>7.9</c:v>
                </c:pt>
                <c:pt idx="384">
                  <c:v>3.1</c:v>
                </c:pt>
                <c:pt idx="385">
                  <c:v>5.5</c:v>
                </c:pt>
                <c:pt idx="386">
                  <c:v>7.1</c:v>
                </c:pt>
                <c:pt idx="387">
                  <c:v>5.9</c:v>
                </c:pt>
                <c:pt idx="388">
                  <c:v>8.8000000000000007</c:v>
                </c:pt>
                <c:pt idx="389">
                  <c:v>3.3</c:v>
                </c:pt>
                <c:pt idx="390">
                  <c:v>5.2</c:v>
                </c:pt>
                <c:pt idx="391">
                  <c:v>2</c:v>
                </c:pt>
                <c:pt idx="392">
                  <c:v>6.4</c:v>
                </c:pt>
                <c:pt idx="393">
                  <c:v>7.8999999999999995</c:v>
                </c:pt>
                <c:pt idx="394">
                  <c:v>5.4</c:v>
                </c:pt>
                <c:pt idx="395">
                  <c:v>3.9000000000000004</c:v>
                </c:pt>
                <c:pt idx="396">
                  <c:v>5.6999999999999993</c:v>
                </c:pt>
                <c:pt idx="397">
                  <c:v>5.6</c:v>
                </c:pt>
                <c:pt idx="398">
                  <c:v>5.5</c:v>
                </c:pt>
                <c:pt idx="399">
                  <c:v>6.6</c:v>
                </c:pt>
                <c:pt idx="400">
                  <c:v>8.6000000000000014</c:v>
                </c:pt>
                <c:pt idx="401">
                  <c:v>2.3000000000000003</c:v>
                </c:pt>
                <c:pt idx="402">
                  <c:v>6.3</c:v>
                </c:pt>
                <c:pt idx="403">
                  <c:v>4.7</c:v>
                </c:pt>
                <c:pt idx="404">
                  <c:v>7.5</c:v>
                </c:pt>
                <c:pt idx="405">
                  <c:v>4.8000000000000007</c:v>
                </c:pt>
                <c:pt idx="406">
                  <c:v>5.8</c:v>
                </c:pt>
                <c:pt idx="407">
                  <c:v>7.6</c:v>
                </c:pt>
                <c:pt idx="408">
                  <c:v>6.4</c:v>
                </c:pt>
                <c:pt idx="409">
                  <c:v>4.5999999999999996</c:v>
                </c:pt>
                <c:pt idx="410">
                  <c:v>5.4</c:v>
                </c:pt>
                <c:pt idx="411">
                  <c:v>2.7</c:v>
                </c:pt>
                <c:pt idx="412">
                  <c:v>5.4</c:v>
                </c:pt>
                <c:pt idx="413">
                  <c:v>6.4</c:v>
                </c:pt>
                <c:pt idx="414">
                  <c:v>7</c:v>
                </c:pt>
                <c:pt idx="415">
                  <c:v>5.6</c:v>
                </c:pt>
                <c:pt idx="416">
                  <c:v>2.9</c:v>
                </c:pt>
                <c:pt idx="417">
                  <c:v>3.5</c:v>
                </c:pt>
                <c:pt idx="418">
                  <c:v>3</c:v>
                </c:pt>
                <c:pt idx="419">
                  <c:v>3.5</c:v>
                </c:pt>
                <c:pt idx="420">
                  <c:v>2.8</c:v>
                </c:pt>
                <c:pt idx="421">
                  <c:v>2.7</c:v>
                </c:pt>
                <c:pt idx="422">
                  <c:v>7.2</c:v>
                </c:pt>
                <c:pt idx="423">
                  <c:v>3.4000000000000004</c:v>
                </c:pt>
                <c:pt idx="424">
                  <c:v>8.6999999999999993</c:v>
                </c:pt>
                <c:pt idx="425">
                  <c:v>5.0999999999999996</c:v>
                </c:pt>
                <c:pt idx="426">
                  <c:v>5.8</c:v>
                </c:pt>
                <c:pt idx="427">
                  <c:v>2.4000000000000004</c:v>
                </c:pt>
                <c:pt idx="428">
                  <c:v>3.6</c:v>
                </c:pt>
                <c:pt idx="429">
                  <c:v>7.4</c:v>
                </c:pt>
                <c:pt idx="430">
                  <c:v>5</c:v>
                </c:pt>
                <c:pt idx="431">
                  <c:v>7.3000000000000007</c:v>
                </c:pt>
                <c:pt idx="432">
                  <c:v>4.0999999999999996</c:v>
                </c:pt>
                <c:pt idx="433">
                  <c:v>8.8000000000000007</c:v>
                </c:pt>
                <c:pt idx="434">
                  <c:v>3.9</c:v>
                </c:pt>
                <c:pt idx="435">
                  <c:v>5.0999999999999996</c:v>
                </c:pt>
                <c:pt idx="436">
                  <c:v>5.0999999999999996</c:v>
                </c:pt>
                <c:pt idx="437">
                  <c:v>2.6</c:v>
                </c:pt>
                <c:pt idx="438">
                  <c:v>3.4000000000000004</c:v>
                </c:pt>
                <c:pt idx="439">
                  <c:v>5.6</c:v>
                </c:pt>
                <c:pt idx="440">
                  <c:v>5.5</c:v>
                </c:pt>
                <c:pt idx="441">
                  <c:v>8.8000000000000007</c:v>
                </c:pt>
                <c:pt idx="442">
                  <c:v>6.5</c:v>
                </c:pt>
                <c:pt idx="443">
                  <c:v>5</c:v>
                </c:pt>
                <c:pt idx="444">
                  <c:v>2.9</c:v>
                </c:pt>
                <c:pt idx="445">
                  <c:v>5.3</c:v>
                </c:pt>
                <c:pt idx="446">
                  <c:v>7.4</c:v>
                </c:pt>
                <c:pt idx="447">
                  <c:v>8.9</c:v>
                </c:pt>
                <c:pt idx="448">
                  <c:v>3.8000000000000003</c:v>
                </c:pt>
                <c:pt idx="449">
                  <c:v>2.9000000000000004</c:v>
                </c:pt>
                <c:pt idx="450">
                  <c:v>4.9000000000000004</c:v>
                </c:pt>
                <c:pt idx="451">
                  <c:v>8.4</c:v>
                </c:pt>
                <c:pt idx="452">
                  <c:v>8.3000000000000007</c:v>
                </c:pt>
                <c:pt idx="453">
                  <c:v>4.6999999999999993</c:v>
                </c:pt>
                <c:pt idx="454">
                  <c:v>7.8</c:v>
                </c:pt>
                <c:pt idx="455">
                  <c:v>8.6</c:v>
                </c:pt>
                <c:pt idx="456">
                  <c:v>5.1999999999999993</c:v>
                </c:pt>
                <c:pt idx="457">
                  <c:v>3.0999999999999996</c:v>
                </c:pt>
                <c:pt idx="458">
                  <c:v>3</c:v>
                </c:pt>
                <c:pt idx="459">
                  <c:v>7.3000000000000007</c:v>
                </c:pt>
                <c:pt idx="460">
                  <c:v>3.1</c:v>
                </c:pt>
                <c:pt idx="461">
                  <c:v>3.9000000000000004</c:v>
                </c:pt>
                <c:pt idx="462">
                  <c:v>8.3000000000000007</c:v>
                </c:pt>
                <c:pt idx="463">
                  <c:v>5.3</c:v>
                </c:pt>
                <c:pt idx="464">
                  <c:v>3</c:v>
                </c:pt>
                <c:pt idx="465">
                  <c:v>8.1000000000000014</c:v>
                </c:pt>
                <c:pt idx="466">
                  <c:v>5.0999999999999996</c:v>
                </c:pt>
                <c:pt idx="467">
                  <c:v>6.8</c:v>
                </c:pt>
                <c:pt idx="468">
                  <c:v>8.5</c:v>
                </c:pt>
                <c:pt idx="469">
                  <c:v>2.1</c:v>
                </c:pt>
                <c:pt idx="470">
                  <c:v>2.4000000000000004</c:v>
                </c:pt>
                <c:pt idx="471">
                  <c:v>5.3000000000000007</c:v>
                </c:pt>
                <c:pt idx="472">
                  <c:v>3.1</c:v>
                </c:pt>
                <c:pt idx="473">
                  <c:v>3.1</c:v>
                </c:pt>
                <c:pt idx="474">
                  <c:v>4.7</c:v>
                </c:pt>
                <c:pt idx="475">
                  <c:v>7</c:v>
                </c:pt>
                <c:pt idx="476">
                  <c:v>5.9</c:v>
                </c:pt>
                <c:pt idx="477">
                  <c:v>8.1999999999999993</c:v>
                </c:pt>
                <c:pt idx="478">
                  <c:v>3.6</c:v>
                </c:pt>
                <c:pt idx="479">
                  <c:v>2.9000000000000004</c:v>
                </c:pt>
                <c:pt idx="480">
                  <c:v>5.4</c:v>
                </c:pt>
                <c:pt idx="481">
                  <c:v>6.2</c:v>
                </c:pt>
                <c:pt idx="482">
                  <c:v>2.6</c:v>
                </c:pt>
                <c:pt idx="483">
                  <c:v>5.8000000000000007</c:v>
                </c:pt>
                <c:pt idx="484">
                  <c:v>7</c:v>
                </c:pt>
                <c:pt idx="485">
                  <c:v>2.1</c:v>
                </c:pt>
                <c:pt idx="486">
                  <c:v>9</c:v>
                </c:pt>
                <c:pt idx="487">
                  <c:v>7</c:v>
                </c:pt>
                <c:pt idx="488">
                  <c:v>4.0999999999999996</c:v>
                </c:pt>
                <c:pt idx="489">
                  <c:v>6.4</c:v>
                </c:pt>
                <c:pt idx="490">
                  <c:v>3.3000000000000003</c:v>
                </c:pt>
                <c:pt idx="491">
                  <c:v>8.4</c:v>
                </c:pt>
                <c:pt idx="492">
                  <c:v>6.1999999999999993</c:v>
                </c:pt>
                <c:pt idx="493">
                  <c:v>2.9000000000000004</c:v>
                </c:pt>
                <c:pt idx="494">
                  <c:v>8.1999999999999993</c:v>
                </c:pt>
                <c:pt idx="495">
                  <c:v>3.4000000000000004</c:v>
                </c:pt>
                <c:pt idx="496">
                  <c:v>3</c:v>
                </c:pt>
                <c:pt idx="497">
                  <c:v>6.1</c:v>
                </c:pt>
                <c:pt idx="498">
                  <c:v>5.8</c:v>
                </c:pt>
                <c:pt idx="499">
                  <c:v>5.3</c:v>
                </c:pt>
                <c:pt idx="500">
                  <c:v>5.2</c:v>
                </c:pt>
                <c:pt idx="501">
                  <c:v>5.9</c:v>
                </c:pt>
                <c:pt idx="502">
                  <c:v>8.8000000000000007</c:v>
                </c:pt>
                <c:pt idx="503">
                  <c:v>5</c:v>
                </c:pt>
                <c:pt idx="504">
                  <c:v>7.6</c:v>
                </c:pt>
                <c:pt idx="505">
                  <c:v>7.6000000000000005</c:v>
                </c:pt>
                <c:pt idx="506">
                  <c:v>2.2999999999999998</c:v>
                </c:pt>
                <c:pt idx="507">
                  <c:v>7.9</c:v>
                </c:pt>
                <c:pt idx="508">
                  <c:v>8.6999999999999993</c:v>
                </c:pt>
                <c:pt idx="509">
                  <c:v>3.6</c:v>
                </c:pt>
                <c:pt idx="510">
                  <c:v>3.4000000000000004</c:v>
                </c:pt>
                <c:pt idx="511">
                  <c:v>6.3000000000000007</c:v>
                </c:pt>
                <c:pt idx="512">
                  <c:v>9.1999999999999993</c:v>
                </c:pt>
                <c:pt idx="513">
                  <c:v>3.7</c:v>
                </c:pt>
                <c:pt idx="514">
                  <c:v>7.8000000000000007</c:v>
                </c:pt>
                <c:pt idx="515">
                  <c:v>2.2999999999999998</c:v>
                </c:pt>
                <c:pt idx="516">
                  <c:v>3.5999999999999996</c:v>
                </c:pt>
                <c:pt idx="517">
                  <c:v>8.1999999999999993</c:v>
                </c:pt>
                <c:pt idx="518">
                  <c:v>6.3</c:v>
                </c:pt>
                <c:pt idx="519">
                  <c:v>3.6</c:v>
                </c:pt>
                <c:pt idx="520">
                  <c:v>5.9</c:v>
                </c:pt>
                <c:pt idx="521">
                  <c:v>5.6999999999999993</c:v>
                </c:pt>
                <c:pt idx="522">
                  <c:v>8.4</c:v>
                </c:pt>
                <c:pt idx="523">
                  <c:v>8.6999999999999993</c:v>
                </c:pt>
                <c:pt idx="524">
                  <c:v>4.5999999999999996</c:v>
                </c:pt>
                <c:pt idx="525">
                  <c:v>2.4000000000000004</c:v>
                </c:pt>
                <c:pt idx="526">
                  <c:v>3.3</c:v>
                </c:pt>
                <c:pt idx="527">
                  <c:v>3.9000000000000004</c:v>
                </c:pt>
                <c:pt idx="528">
                  <c:v>2</c:v>
                </c:pt>
                <c:pt idx="529">
                  <c:v>2.1</c:v>
                </c:pt>
                <c:pt idx="530">
                  <c:v>2.8000000000000003</c:v>
                </c:pt>
                <c:pt idx="531">
                  <c:v>4.5999999999999996</c:v>
                </c:pt>
                <c:pt idx="532">
                  <c:v>2.5</c:v>
                </c:pt>
                <c:pt idx="533">
                  <c:v>7.6999999999999993</c:v>
                </c:pt>
                <c:pt idx="534">
                  <c:v>2.4</c:v>
                </c:pt>
                <c:pt idx="535">
                  <c:v>8.3000000000000007</c:v>
                </c:pt>
                <c:pt idx="536">
                  <c:v>2.8</c:v>
                </c:pt>
                <c:pt idx="537">
                  <c:v>2.1</c:v>
                </c:pt>
                <c:pt idx="538">
                  <c:v>4.7</c:v>
                </c:pt>
                <c:pt idx="539">
                  <c:v>7.3000000000000007</c:v>
                </c:pt>
                <c:pt idx="540">
                  <c:v>8.5</c:v>
                </c:pt>
                <c:pt idx="541">
                  <c:v>6.2</c:v>
                </c:pt>
                <c:pt idx="542">
                  <c:v>3.5999999999999996</c:v>
                </c:pt>
                <c:pt idx="543">
                  <c:v>2.4000000000000004</c:v>
                </c:pt>
                <c:pt idx="544">
                  <c:v>3.3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47C-ED43-9260-759283091E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1803567"/>
        <c:axId val="791805279"/>
      </c:scatterChart>
      <c:valAx>
        <c:axId val="7918035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Previous_Sem_CGPA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1805279"/>
        <c:crosses val="autoZero"/>
        <c:crossBetween val="midCat"/>
      </c:valAx>
      <c:valAx>
        <c:axId val="791805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Study Hours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18035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Frequency of 'Attendance_Percentage'</cx:v>
        </cx:txData>
      </cx:tx>
    </cx:title>
    <cx:plotArea>
      <cx:plotAreaRegion>
        <cx:series layoutId="clusteredColumn" uniqueId="{704293BB-0627-AC47-8B85-B973EBB1AA50}">
          <cx:spPr>
            <a:solidFill>
              <a:srgbClr val="595959"/>
            </a:solidFill>
          </cx:spPr>
          <cx:dataId val="0"/>
          <cx:layoutPr>
            <cx:binning intervalClosed="r">
              <cx:binSize val="5"/>
            </cx:binning>
          </cx:layoutPr>
        </cx:series>
      </cx:plotAreaRegion>
      <cx:axis id="0">
        <cx:catScaling gapWidth="0.00329999998"/>
        <cx:title>
          <cx:tx>
            <cx:txData>
              <cx:v>Attendance_Percentage</cx:v>
            </cx:txData>
          </cx:tx>
        </cx:title>
        <cx:tickLabels/>
      </cx:axis>
      <cx:axis id="1">
        <cx:valScaling/>
        <cx:title>
          <cx:tx>
            <cx:txData>
              <cx:v>Frequency</cx:v>
            </cx:txData>
          </cx:tx>
        </cx:title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txData>
          <cx:v>Frequency of 'Total Study Hours'</cx:v>
        </cx:txData>
      </cx:tx>
    </cx:title>
    <cx:plotArea>
      <cx:plotAreaRegion>
        <cx:series layoutId="clusteredColumn" uniqueId="{7E76A6C6-B6C6-A64F-B781-BEE0584DE54C}">
          <cx:spPr>
            <a:solidFill>
              <a:srgbClr val="595959"/>
            </a:solidFill>
          </cx:spPr>
          <cx:dataId val="0"/>
          <cx:layoutPr>
            <cx:binning intervalClosed="r">
              <cx:binSize val="2"/>
            </cx:binning>
          </cx:layoutPr>
        </cx:series>
      </cx:plotAreaRegion>
      <cx:axis id="0">
        <cx:catScaling gapWidth="0.00329999998"/>
        <cx:title>
          <cx:tx>
            <cx:txData>
              <cx:v>Total Study Hours</cx:v>
            </cx:txData>
          </cx:tx>
        </cx:title>
        <cx:tickLabels/>
      </cx:axis>
      <cx:axis id="1">
        <cx:valScaling/>
        <cx:title>
          <cx:tx>
            <cx:txData>
              <cx:v>Frequency</cx:v>
            </cx:txData>
          </cx:tx>
        </cx:title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microsoft.com/office/2014/relationships/chartEx" Target="../charts/chartEx2.xml"/><Relationship Id="rId4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0</xdr:rowOff>
    </xdr:from>
    <xdr:to>
      <xdr:col>7</xdr:col>
      <xdr:colOff>558800</xdr:colOff>
      <xdr:row>22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4AB3415-4983-9747-9ADE-84B3F58D2E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27</xdr:row>
      <xdr:rowOff>190500</xdr:rowOff>
    </xdr:from>
    <xdr:to>
      <xdr:col>7</xdr:col>
      <xdr:colOff>571500</xdr:colOff>
      <xdr:row>44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8F6528A-1622-D14A-BD55-A09618B0FC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609600</xdr:colOff>
      <xdr:row>4</xdr:row>
      <xdr:rowOff>50800</xdr:rowOff>
    </xdr:from>
    <xdr:to>
      <xdr:col>14</xdr:col>
      <xdr:colOff>228600</xdr:colOff>
      <xdr:row>17</xdr:row>
      <xdr:rowOff>146756</xdr:rowOff>
    </xdr:to>
    <xdr:graphicFrame macro="">
      <xdr:nvGraphicFramePr>
        <xdr:cNvPr id="5" name="Chart 4" descr="Chart type: Scatter. Field: Previous_Sem_CGPA and Field: Total Study Hours appear highly correlated.&#10;&#10;Description automatically generated">
          <a:extLst>
            <a:ext uri="{FF2B5EF4-FFF2-40B4-BE49-F238E27FC236}">
              <a16:creationId xmlns:a16="http://schemas.microsoft.com/office/drawing/2014/main" id="{79098D66-BAF8-044A-AA41-4CA5887161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622300</xdr:colOff>
      <xdr:row>20</xdr:row>
      <xdr:rowOff>152400</xdr:rowOff>
    </xdr:from>
    <xdr:to>
      <xdr:col>14</xdr:col>
      <xdr:colOff>241300</xdr:colOff>
      <xdr:row>34</xdr:row>
      <xdr:rowOff>45156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Chart 5" descr="Chart type: Histogram. Frequency of 'Attendance_Percentage'&#10;&#10;Description automatically generated">
              <a:extLst>
                <a:ext uri="{FF2B5EF4-FFF2-40B4-BE49-F238E27FC236}">
                  <a16:creationId xmlns:a16="http://schemas.microsoft.com/office/drawing/2014/main" id="{50DFF976-40E1-454C-9EA4-816063BB03F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251700" y="3810000"/>
              <a:ext cx="4572000" cy="273755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8</xdr:col>
      <xdr:colOff>609600</xdr:colOff>
      <xdr:row>35</xdr:row>
      <xdr:rowOff>25400</xdr:rowOff>
    </xdr:from>
    <xdr:to>
      <xdr:col>14</xdr:col>
      <xdr:colOff>228600</xdr:colOff>
      <xdr:row>48</xdr:row>
      <xdr:rowOff>121356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Chart 6" descr="Chart type: Histogram. Frequency of 'Total Study Hours'&#10;&#10;Description automatically generated">
              <a:extLst>
                <a:ext uri="{FF2B5EF4-FFF2-40B4-BE49-F238E27FC236}">
                  <a16:creationId xmlns:a16="http://schemas.microsoft.com/office/drawing/2014/main" id="{36BE5327-C10E-A945-8756-EC267D8933B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239000" y="6731000"/>
              <a:ext cx="4572000" cy="273755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235CE-050B-7C41-B57B-600A6E977AB9}">
  <dimension ref="A1:M551"/>
  <sheetViews>
    <sheetView topLeftCell="A202" workbookViewId="0">
      <selection activeCell="C207" sqref="C207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">
      <c r="A2" t="s">
        <v>12</v>
      </c>
      <c r="B2">
        <v>23</v>
      </c>
      <c r="C2" t="s">
        <v>13</v>
      </c>
      <c r="D2">
        <v>6.2</v>
      </c>
      <c r="E2">
        <v>2.5</v>
      </c>
      <c r="G2">
        <v>3.8</v>
      </c>
      <c r="H2">
        <v>1.2</v>
      </c>
      <c r="I2">
        <v>7.1</v>
      </c>
      <c r="J2">
        <v>79</v>
      </c>
      <c r="K2">
        <v>2.6</v>
      </c>
      <c r="L2">
        <v>7.74</v>
      </c>
      <c r="M2">
        <v>7.94</v>
      </c>
    </row>
    <row r="3" spans="1:13" x14ac:dyDescent="0.2">
      <c r="A3" t="s">
        <v>14</v>
      </c>
      <c r="B3">
        <v>24</v>
      </c>
      <c r="C3" t="s">
        <v>13</v>
      </c>
      <c r="D3">
        <v>4.9000000000000004</v>
      </c>
      <c r="E3">
        <v>2</v>
      </c>
      <c r="G3">
        <v>5.0999999999999996</v>
      </c>
      <c r="H3">
        <v>1</v>
      </c>
      <c r="I3">
        <v>8.3000000000000007</v>
      </c>
      <c r="J3">
        <v>79</v>
      </c>
      <c r="K3">
        <v>2.6</v>
      </c>
      <c r="L3">
        <v>7.72</v>
      </c>
      <c r="M3">
        <v>7.92</v>
      </c>
    </row>
    <row r="4" spans="1:13" x14ac:dyDescent="0.2">
      <c r="A4" t="s">
        <v>15</v>
      </c>
      <c r="B4">
        <v>18</v>
      </c>
      <c r="C4" t="s">
        <v>13</v>
      </c>
      <c r="D4">
        <v>7.9</v>
      </c>
      <c r="E4">
        <v>3.2</v>
      </c>
      <c r="G4">
        <v>2.1</v>
      </c>
      <c r="H4">
        <v>1.6</v>
      </c>
      <c r="I4">
        <v>7.1</v>
      </c>
      <c r="J4">
        <v>68</v>
      </c>
      <c r="K4">
        <v>2.2999999999999998</v>
      </c>
      <c r="L4">
        <v>6.67</v>
      </c>
      <c r="M4">
        <v>6.87</v>
      </c>
    </row>
    <row r="5" spans="1:13" x14ac:dyDescent="0.2">
      <c r="A5" t="s">
        <v>16</v>
      </c>
      <c r="B5">
        <v>17</v>
      </c>
      <c r="C5" t="s">
        <v>17</v>
      </c>
      <c r="D5">
        <v>10</v>
      </c>
      <c r="E5">
        <v>4</v>
      </c>
      <c r="G5">
        <v>0</v>
      </c>
      <c r="H5">
        <v>2</v>
      </c>
      <c r="I5">
        <v>5.9</v>
      </c>
      <c r="J5">
        <v>63</v>
      </c>
      <c r="K5">
        <v>2.1</v>
      </c>
      <c r="L5">
        <v>6.1</v>
      </c>
      <c r="M5">
        <v>6.3</v>
      </c>
    </row>
    <row r="6" spans="1:13" x14ac:dyDescent="0.2">
      <c r="A6" t="s">
        <v>18</v>
      </c>
      <c r="B6">
        <v>23</v>
      </c>
      <c r="C6" t="s">
        <v>13</v>
      </c>
      <c r="D6">
        <v>7.7</v>
      </c>
      <c r="E6">
        <v>3.1</v>
      </c>
      <c r="G6">
        <v>2.2999999999999998</v>
      </c>
      <c r="H6">
        <v>1.5</v>
      </c>
      <c r="I6">
        <v>6.4</v>
      </c>
      <c r="J6">
        <v>69</v>
      </c>
      <c r="K6">
        <v>2.2999999999999998</v>
      </c>
      <c r="L6">
        <v>6.77</v>
      </c>
      <c r="M6">
        <v>6.97</v>
      </c>
    </row>
    <row r="7" spans="1:13" x14ac:dyDescent="0.2">
      <c r="A7" t="s">
        <v>19</v>
      </c>
      <c r="B7">
        <v>25</v>
      </c>
      <c r="C7" t="s">
        <v>17</v>
      </c>
      <c r="D7">
        <v>7.6</v>
      </c>
      <c r="E7">
        <v>3</v>
      </c>
      <c r="G7">
        <v>2.4</v>
      </c>
      <c r="H7">
        <v>1.5</v>
      </c>
      <c r="I7">
        <v>6.9</v>
      </c>
      <c r="J7">
        <v>68</v>
      </c>
      <c r="K7">
        <v>2.2999999999999998</v>
      </c>
      <c r="L7">
        <v>6.66</v>
      </c>
      <c r="M7">
        <v>6.86</v>
      </c>
    </row>
    <row r="8" spans="1:13" x14ac:dyDescent="0.2">
      <c r="A8" t="s">
        <v>20</v>
      </c>
      <c r="B8">
        <v>25</v>
      </c>
      <c r="C8" t="s">
        <v>13</v>
      </c>
      <c r="D8">
        <v>4.0999999999999996</v>
      </c>
      <c r="E8">
        <v>1.6</v>
      </c>
      <c r="G8">
        <v>5.9</v>
      </c>
      <c r="H8">
        <v>0.8</v>
      </c>
      <c r="I8">
        <v>7.8</v>
      </c>
      <c r="J8">
        <v>96</v>
      </c>
      <c r="K8">
        <v>3.2</v>
      </c>
      <c r="L8">
        <v>9.48</v>
      </c>
      <c r="M8">
        <v>9.68</v>
      </c>
    </row>
    <row r="9" spans="1:13" x14ac:dyDescent="0.2">
      <c r="A9" t="s">
        <v>21</v>
      </c>
      <c r="B9">
        <v>24</v>
      </c>
      <c r="C9" t="s">
        <v>17</v>
      </c>
      <c r="D9">
        <v>4.5999999999999996</v>
      </c>
      <c r="E9">
        <v>1.8</v>
      </c>
      <c r="G9">
        <v>5.4</v>
      </c>
      <c r="H9">
        <v>0.9</v>
      </c>
      <c r="I9">
        <v>7.7</v>
      </c>
      <c r="J9">
        <v>91</v>
      </c>
      <c r="K9">
        <v>3.1</v>
      </c>
      <c r="L9">
        <v>8.9700000000000006</v>
      </c>
      <c r="M9">
        <v>9.17</v>
      </c>
    </row>
    <row r="10" spans="1:13" x14ac:dyDescent="0.2">
      <c r="A10" t="s">
        <v>22</v>
      </c>
      <c r="B10">
        <v>18</v>
      </c>
      <c r="C10" t="s">
        <v>13</v>
      </c>
      <c r="D10">
        <v>5</v>
      </c>
      <c r="E10">
        <v>2</v>
      </c>
      <c r="G10">
        <v>5</v>
      </c>
      <c r="H10">
        <v>1</v>
      </c>
      <c r="I10">
        <v>7.3</v>
      </c>
      <c r="J10">
        <v>85</v>
      </c>
      <c r="K10">
        <v>2.9</v>
      </c>
      <c r="L10">
        <v>8.3800000000000008</v>
      </c>
      <c r="M10">
        <v>8.58</v>
      </c>
    </row>
    <row r="11" spans="1:13" x14ac:dyDescent="0.2">
      <c r="A11" t="s">
        <v>23</v>
      </c>
      <c r="B11">
        <v>18</v>
      </c>
      <c r="C11" t="s">
        <v>13</v>
      </c>
      <c r="D11">
        <v>7.1</v>
      </c>
      <c r="E11">
        <v>2.8</v>
      </c>
      <c r="G11">
        <v>2.9</v>
      </c>
      <c r="H11">
        <v>1.4</v>
      </c>
      <c r="I11">
        <v>6.3</v>
      </c>
      <c r="J11">
        <v>74</v>
      </c>
      <c r="K11">
        <v>2.5</v>
      </c>
      <c r="L11">
        <v>7.26</v>
      </c>
      <c r="M11">
        <v>7.46</v>
      </c>
    </row>
    <row r="12" spans="1:13" x14ac:dyDescent="0.2">
      <c r="A12" t="s">
        <v>24</v>
      </c>
      <c r="B12">
        <v>23</v>
      </c>
      <c r="C12" t="s">
        <v>13</v>
      </c>
      <c r="D12">
        <v>9.4</v>
      </c>
      <c r="E12">
        <v>3.8</v>
      </c>
      <c r="G12">
        <v>0.6</v>
      </c>
      <c r="H12">
        <v>1.9</v>
      </c>
      <c r="I12">
        <v>6.4</v>
      </c>
      <c r="J12">
        <v>62</v>
      </c>
      <c r="K12">
        <v>2.1</v>
      </c>
      <c r="L12">
        <v>6.08</v>
      </c>
      <c r="M12">
        <v>6.28</v>
      </c>
    </row>
    <row r="13" spans="1:13" x14ac:dyDescent="0.2">
      <c r="A13" t="s">
        <v>25</v>
      </c>
      <c r="B13">
        <v>21</v>
      </c>
      <c r="C13" t="s">
        <v>13</v>
      </c>
      <c r="D13">
        <v>4.3</v>
      </c>
      <c r="E13">
        <v>1.7</v>
      </c>
      <c r="G13">
        <v>5.7</v>
      </c>
      <c r="H13">
        <v>0.9</v>
      </c>
      <c r="I13">
        <v>7.6</v>
      </c>
      <c r="J13">
        <v>84</v>
      </c>
      <c r="K13">
        <v>2.8</v>
      </c>
      <c r="L13">
        <v>8.25</v>
      </c>
      <c r="M13">
        <v>8.4499999999999993</v>
      </c>
    </row>
    <row r="14" spans="1:13" x14ac:dyDescent="0.2">
      <c r="A14" t="s">
        <v>26</v>
      </c>
      <c r="B14">
        <v>17</v>
      </c>
      <c r="C14" t="s">
        <v>17</v>
      </c>
      <c r="D14">
        <v>6.1</v>
      </c>
      <c r="E14">
        <v>2.4</v>
      </c>
      <c r="G14">
        <v>3.9</v>
      </c>
      <c r="H14">
        <v>1.2</v>
      </c>
      <c r="I14">
        <v>6.8</v>
      </c>
      <c r="J14">
        <v>71</v>
      </c>
      <c r="K14">
        <v>2.4</v>
      </c>
      <c r="L14">
        <v>6.9399999999999897</v>
      </c>
      <c r="M14">
        <v>7.14</v>
      </c>
    </row>
    <row r="15" spans="1:13" x14ac:dyDescent="0.2">
      <c r="A15" t="s">
        <v>27</v>
      </c>
      <c r="B15">
        <v>19</v>
      </c>
      <c r="C15" t="s">
        <v>17</v>
      </c>
      <c r="D15">
        <v>9.9</v>
      </c>
      <c r="E15">
        <v>4</v>
      </c>
      <c r="G15">
        <v>0.1</v>
      </c>
      <c r="H15">
        <v>2</v>
      </c>
      <c r="I15">
        <v>5.3</v>
      </c>
      <c r="J15">
        <v>65</v>
      </c>
      <c r="K15">
        <v>2.2000000000000002</v>
      </c>
      <c r="L15">
        <v>6.3</v>
      </c>
      <c r="M15">
        <v>6.5</v>
      </c>
    </row>
    <row r="16" spans="1:13" x14ac:dyDescent="0.2">
      <c r="A16" t="s">
        <v>28</v>
      </c>
      <c r="B16">
        <v>23</v>
      </c>
      <c r="C16" t="s">
        <v>13</v>
      </c>
      <c r="D16">
        <v>8.3000000000000007</v>
      </c>
      <c r="E16">
        <v>3.3</v>
      </c>
      <c r="G16">
        <v>1.7</v>
      </c>
      <c r="H16">
        <v>1.7</v>
      </c>
      <c r="I16">
        <v>5.9</v>
      </c>
      <c r="J16">
        <v>65</v>
      </c>
      <c r="K16">
        <v>2.2000000000000002</v>
      </c>
      <c r="L16">
        <v>6.33</v>
      </c>
      <c r="M16">
        <v>6.53</v>
      </c>
    </row>
    <row r="17" spans="1:13" x14ac:dyDescent="0.2">
      <c r="A17" t="s">
        <v>29</v>
      </c>
      <c r="B17">
        <v>17</v>
      </c>
      <c r="C17" t="s">
        <v>13</v>
      </c>
      <c r="D17">
        <v>4.7</v>
      </c>
      <c r="E17">
        <v>1.9</v>
      </c>
      <c r="G17">
        <v>5.3</v>
      </c>
      <c r="H17">
        <v>0.9</v>
      </c>
      <c r="I17">
        <v>7.9</v>
      </c>
      <c r="J17">
        <v>95</v>
      </c>
      <c r="K17">
        <v>3.2</v>
      </c>
      <c r="L17">
        <v>9.33</v>
      </c>
      <c r="M17">
        <v>9.5299999999999994</v>
      </c>
    </row>
    <row r="18" spans="1:13" x14ac:dyDescent="0.2">
      <c r="A18" t="s">
        <v>30</v>
      </c>
      <c r="B18">
        <v>22</v>
      </c>
      <c r="C18" t="s">
        <v>17</v>
      </c>
      <c r="D18">
        <v>6.2</v>
      </c>
      <c r="E18">
        <v>2.5</v>
      </c>
      <c r="G18">
        <v>3.8</v>
      </c>
      <c r="H18">
        <v>1.2</v>
      </c>
      <c r="I18">
        <v>7</v>
      </c>
      <c r="J18">
        <v>76</v>
      </c>
      <c r="K18">
        <v>2.5</v>
      </c>
      <c r="L18">
        <v>7.3999999999999897</v>
      </c>
      <c r="M18">
        <v>7.6</v>
      </c>
    </row>
    <row r="19" spans="1:13" x14ac:dyDescent="0.2">
      <c r="A19" t="s">
        <v>31</v>
      </c>
      <c r="B19">
        <v>17</v>
      </c>
      <c r="C19" t="s">
        <v>17</v>
      </c>
      <c r="D19">
        <v>7.4</v>
      </c>
      <c r="E19">
        <v>3</v>
      </c>
      <c r="G19">
        <v>2.6</v>
      </c>
      <c r="H19">
        <v>1.5</v>
      </c>
      <c r="I19">
        <v>7.5</v>
      </c>
      <c r="J19">
        <v>72</v>
      </c>
      <c r="K19">
        <v>2.4</v>
      </c>
      <c r="L19">
        <v>7.06</v>
      </c>
      <c r="M19">
        <v>7.26</v>
      </c>
    </row>
    <row r="20" spans="1:13" x14ac:dyDescent="0.2">
      <c r="A20" t="s">
        <v>32</v>
      </c>
      <c r="B20">
        <v>19</v>
      </c>
      <c r="C20" t="s">
        <v>17</v>
      </c>
      <c r="D20">
        <v>7.4</v>
      </c>
      <c r="E20">
        <v>3</v>
      </c>
      <c r="G20">
        <v>2.6</v>
      </c>
      <c r="H20">
        <v>1.5</v>
      </c>
      <c r="I20">
        <v>6.7</v>
      </c>
      <c r="J20">
        <v>77</v>
      </c>
      <c r="K20">
        <v>2.6</v>
      </c>
      <c r="L20">
        <v>7.53</v>
      </c>
      <c r="M20">
        <v>7.73</v>
      </c>
    </row>
    <row r="21" spans="1:13" x14ac:dyDescent="0.2">
      <c r="A21" t="s">
        <v>33</v>
      </c>
      <c r="B21">
        <v>21</v>
      </c>
      <c r="C21" t="s">
        <v>17</v>
      </c>
      <c r="D21">
        <v>9.4</v>
      </c>
      <c r="E21">
        <v>3.8</v>
      </c>
      <c r="G21">
        <v>0.6</v>
      </c>
      <c r="H21">
        <v>1.9</v>
      </c>
      <c r="I21">
        <v>5.8</v>
      </c>
      <c r="J21">
        <v>61</v>
      </c>
      <c r="K21">
        <v>2</v>
      </c>
      <c r="L21">
        <v>5.92</v>
      </c>
      <c r="M21">
        <v>6.12</v>
      </c>
    </row>
    <row r="22" spans="1:13" x14ac:dyDescent="0.2">
      <c r="A22" t="s">
        <v>34</v>
      </c>
      <c r="B22">
        <v>19</v>
      </c>
      <c r="C22" t="s">
        <v>13</v>
      </c>
      <c r="D22">
        <v>7.6</v>
      </c>
      <c r="E22">
        <v>3</v>
      </c>
      <c r="G22">
        <v>2.4</v>
      </c>
      <c r="H22">
        <v>1.5</v>
      </c>
      <c r="I22">
        <v>6.3</v>
      </c>
      <c r="J22">
        <v>74</v>
      </c>
      <c r="K22">
        <v>2.5</v>
      </c>
      <c r="L22">
        <v>7.25</v>
      </c>
      <c r="M22">
        <v>7.45</v>
      </c>
    </row>
    <row r="23" spans="1:13" x14ac:dyDescent="0.2">
      <c r="A23" t="s">
        <v>35</v>
      </c>
      <c r="B23">
        <v>22</v>
      </c>
      <c r="C23" t="s">
        <v>13</v>
      </c>
      <c r="D23">
        <v>9.3000000000000007</v>
      </c>
      <c r="E23">
        <v>3.7</v>
      </c>
      <c r="G23">
        <v>0.7</v>
      </c>
      <c r="H23">
        <v>1.9</v>
      </c>
      <c r="I23">
        <v>5.4</v>
      </c>
      <c r="J23">
        <v>63</v>
      </c>
      <c r="K23">
        <v>2.1</v>
      </c>
      <c r="L23">
        <v>6.1099999999999897</v>
      </c>
      <c r="M23">
        <v>6.31</v>
      </c>
    </row>
    <row r="24" spans="1:13" x14ac:dyDescent="0.2">
      <c r="A24" t="s">
        <v>36</v>
      </c>
      <c r="B24">
        <v>23</v>
      </c>
      <c r="C24" t="s">
        <v>13</v>
      </c>
      <c r="D24">
        <v>8.8000000000000007</v>
      </c>
      <c r="E24">
        <v>3.5</v>
      </c>
      <c r="G24">
        <v>1.2</v>
      </c>
      <c r="H24">
        <v>1.8</v>
      </c>
      <c r="I24">
        <v>6.3</v>
      </c>
      <c r="J24">
        <v>57</v>
      </c>
      <c r="K24">
        <v>1.9</v>
      </c>
      <c r="L24">
        <v>5.54</v>
      </c>
      <c r="M24">
        <v>5.74</v>
      </c>
    </row>
    <row r="25" spans="1:13" x14ac:dyDescent="0.2">
      <c r="A25" t="s">
        <v>37</v>
      </c>
      <c r="B25">
        <v>20</v>
      </c>
      <c r="C25" t="s">
        <v>17</v>
      </c>
      <c r="D25">
        <v>6.1</v>
      </c>
      <c r="E25">
        <v>2.4</v>
      </c>
      <c r="G25">
        <v>3.9</v>
      </c>
      <c r="H25">
        <v>1.2</v>
      </c>
      <c r="I25">
        <v>6.4</v>
      </c>
      <c r="J25">
        <v>78</v>
      </c>
      <c r="K25">
        <v>2.6</v>
      </c>
      <c r="L25">
        <v>7.6899999999999897</v>
      </c>
      <c r="M25">
        <v>7.89</v>
      </c>
    </row>
    <row r="26" spans="1:13" x14ac:dyDescent="0.2">
      <c r="A26" t="s">
        <v>38</v>
      </c>
      <c r="B26">
        <v>21</v>
      </c>
      <c r="C26" t="s">
        <v>17</v>
      </c>
      <c r="D26">
        <v>9.1999999999999993</v>
      </c>
      <c r="E26">
        <v>3.7</v>
      </c>
      <c r="G26">
        <v>0.8</v>
      </c>
      <c r="H26">
        <v>1.8</v>
      </c>
      <c r="I26">
        <v>5.8</v>
      </c>
      <c r="J26">
        <v>55</v>
      </c>
      <c r="K26">
        <v>1.8</v>
      </c>
      <c r="L26">
        <v>5.31</v>
      </c>
      <c r="M26">
        <v>5.51</v>
      </c>
    </row>
    <row r="27" spans="1:13" x14ac:dyDescent="0.2">
      <c r="A27" t="s">
        <v>39</v>
      </c>
      <c r="B27">
        <v>24</v>
      </c>
      <c r="C27" t="s">
        <v>17</v>
      </c>
      <c r="D27">
        <v>4.7</v>
      </c>
      <c r="E27">
        <v>1.9</v>
      </c>
      <c r="G27">
        <v>5.3</v>
      </c>
      <c r="H27">
        <v>0.9</v>
      </c>
      <c r="I27">
        <v>8.4</v>
      </c>
      <c r="J27">
        <v>84</v>
      </c>
      <c r="K27">
        <v>2.8</v>
      </c>
      <c r="L27">
        <v>8.2799999999999994</v>
      </c>
      <c r="M27">
        <v>8.48</v>
      </c>
    </row>
    <row r="28" spans="1:13" x14ac:dyDescent="0.2">
      <c r="A28" t="s">
        <v>40</v>
      </c>
      <c r="B28">
        <v>18</v>
      </c>
      <c r="C28" t="s">
        <v>17</v>
      </c>
      <c r="D28">
        <v>6.4</v>
      </c>
      <c r="E28">
        <v>2.6</v>
      </c>
      <c r="G28">
        <v>3.6</v>
      </c>
      <c r="H28">
        <v>1.3</v>
      </c>
      <c r="I28">
        <v>6.4</v>
      </c>
      <c r="J28">
        <v>68</v>
      </c>
      <c r="K28">
        <v>2.2999999999999998</v>
      </c>
      <c r="L28">
        <v>6.68</v>
      </c>
      <c r="M28">
        <v>6.88</v>
      </c>
    </row>
    <row r="29" spans="1:13" x14ac:dyDescent="0.2">
      <c r="A29" t="s">
        <v>41</v>
      </c>
      <c r="B29">
        <v>18</v>
      </c>
      <c r="C29" t="s">
        <v>13</v>
      </c>
      <c r="D29">
        <v>5.8</v>
      </c>
      <c r="E29">
        <v>2.2999999999999998</v>
      </c>
      <c r="G29">
        <v>4.2</v>
      </c>
      <c r="H29">
        <v>1.2</v>
      </c>
      <c r="I29">
        <v>7.1</v>
      </c>
      <c r="J29">
        <v>83</v>
      </c>
      <c r="K29">
        <v>2.8</v>
      </c>
      <c r="L29">
        <v>8.17</v>
      </c>
      <c r="M29">
        <v>8.3699999999999992</v>
      </c>
    </row>
    <row r="30" spans="1:13" x14ac:dyDescent="0.2">
      <c r="A30" t="s">
        <v>42</v>
      </c>
      <c r="B30">
        <v>19</v>
      </c>
      <c r="C30" t="s">
        <v>13</v>
      </c>
      <c r="D30">
        <v>6.5</v>
      </c>
      <c r="E30">
        <v>2.6</v>
      </c>
      <c r="G30">
        <v>3.5</v>
      </c>
      <c r="H30">
        <v>1.3</v>
      </c>
      <c r="I30">
        <v>6.5</v>
      </c>
      <c r="J30">
        <v>68</v>
      </c>
      <c r="K30">
        <v>2.2999999999999998</v>
      </c>
      <c r="L30">
        <v>6.64</v>
      </c>
      <c r="M30">
        <v>6.84</v>
      </c>
    </row>
    <row r="31" spans="1:13" x14ac:dyDescent="0.2">
      <c r="A31" t="s">
        <v>43</v>
      </c>
      <c r="B31">
        <v>20</v>
      </c>
      <c r="C31" t="s">
        <v>17</v>
      </c>
      <c r="D31">
        <v>4.9000000000000004</v>
      </c>
      <c r="E31">
        <v>2</v>
      </c>
      <c r="G31">
        <v>5.0999999999999996</v>
      </c>
      <c r="H31">
        <v>1</v>
      </c>
      <c r="I31">
        <v>8.5</v>
      </c>
      <c r="J31">
        <v>87</v>
      </c>
      <c r="K31">
        <v>2.9</v>
      </c>
      <c r="L31">
        <v>8.58</v>
      </c>
      <c r="M31">
        <v>8.7799999999999994</v>
      </c>
    </row>
    <row r="32" spans="1:13" x14ac:dyDescent="0.2">
      <c r="A32" t="s">
        <v>44</v>
      </c>
      <c r="B32">
        <v>21</v>
      </c>
      <c r="C32" t="s">
        <v>13</v>
      </c>
      <c r="D32">
        <v>8.6</v>
      </c>
      <c r="E32">
        <v>3.4</v>
      </c>
      <c r="G32">
        <v>1.4</v>
      </c>
      <c r="H32">
        <v>1.7</v>
      </c>
      <c r="I32">
        <v>6.1</v>
      </c>
      <c r="J32">
        <v>58</v>
      </c>
      <c r="K32">
        <v>1.9</v>
      </c>
      <c r="L32">
        <v>5.6099999999999897</v>
      </c>
      <c r="M32">
        <v>5.81</v>
      </c>
    </row>
    <row r="33" spans="1:13" x14ac:dyDescent="0.2">
      <c r="A33" t="s">
        <v>45</v>
      </c>
      <c r="B33">
        <v>25</v>
      </c>
      <c r="C33" t="s">
        <v>13</v>
      </c>
      <c r="D33">
        <v>9.9</v>
      </c>
      <c r="E33">
        <v>4</v>
      </c>
      <c r="G33">
        <v>0.1</v>
      </c>
      <c r="H33">
        <v>2</v>
      </c>
      <c r="I33">
        <v>6.2</v>
      </c>
      <c r="J33">
        <v>60</v>
      </c>
      <c r="K33">
        <v>2</v>
      </c>
      <c r="L33">
        <v>5.8199999999999896</v>
      </c>
      <c r="M33">
        <v>6.02</v>
      </c>
    </row>
    <row r="34" spans="1:13" x14ac:dyDescent="0.2">
      <c r="A34" t="s">
        <v>46</v>
      </c>
      <c r="B34">
        <v>19</v>
      </c>
      <c r="C34" t="s">
        <v>13</v>
      </c>
      <c r="D34">
        <v>7</v>
      </c>
      <c r="E34">
        <v>2.8</v>
      </c>
      <c r="G34">
        <v>3</v>
      </c>
      <c r="H34">
        <v>1.4</v>
      </c>
      <c r="I34">
        <v>7.3</v>
      </c>
      <c r="J34">
        <v>76</v>
      </c>
      <c r="K34">
        <v>2.5</v>
      </c>
      <c r="L34">
        <v>7.43</v>
      </c>
      <c r="M34">
        <v>7.63</v>
      </c>
    </row>
    <row r="35" spans="1:13" x14ac:dyDescent="0.2">
      <c r="A35" t="s">
        <v>47</v>
      </c>
      <c r="B35">
        <v>25</v>
      </c>
      <c r="C35" t="s">
        <v>17</v>
      </c>
      <c r="D35">
        <v>7.1</v>
      </c>
      <c r="E35">
        <v>2.8</v>
      </c>
      <c r="G35">
        <v>2.9</v>
      </c>
      <c r="H35">
        <v>1.4</v>
      </c>
      <c r="I35">
        <v>7</v>
      </c>
      <c r="J35">
        <v>70</v>
      </c>
      <c r="K35">
        <v>2.4</v>
      </c>
      <c r="L35">
        <v>6.87</v>
      </c>
      <c r="M35">
        <v>7.07</v>
      </c>
    </row>
    <row r="36" spans="1:13" x14ac:dyDescent="0.2">
      <c r="A36" t="s">
        <v>48</v>
      </c>
      <c r="B36">
        <v>25</v>
      </c>
      <c r="C36" t="s">
        <v>13</v>
      </c>
      <c r="D36">
        <v>6.4</v>
      </c>
      <c r="E36">
        <v>2.6</v>
      </c>
      <c r="G36">
        <v>3.6</v>
      </c>
      <c r="H36">
        <v>1.3</v>
      </c>
      <c r="I36">
        <v>7.3</v>
      </c>
      <c r="J36">
        <v>74</v>
      </c>
      <c r="K36">
        <v>2.5</v>
      </c>
      <c r="L36">
        <v>7.22</v>
      </c>
      <c r="M36">
        <v>7.42</v>
      </c>
    </row>
    <row r="37" spans="1:13" x14ac:dyDescent="0.2">
      <c r="A37" t="s">
        <v>49</v>
      </c>
      <c r="B37">
        <v>25</v>
      </c>
      <c r="C37" t="s">
        <v>13</v>
      </c>
      <c r="D37">
        <v>9.5</v>
      </c>
      <c r="E37">
        <v>3.8</v>
      </c>
      <c r="G37">
        <v>0.5</v>
      </c>
      <c r="H37">
        <v>1.9</v>
      </c>
      <c r="I37">
        <v>5.4</v>
      </c>
      <c r="J37">
        <v>66</v>
      </c>
      <c r="K37">
        <v>2.2000000000000002</v>
      </c>
      <c r="L37">
        <v>6.4399999999999897</v>
      </c>
      <c r="M37">
        <v>6.64</v>
      </c>
    </row>
    <row r="38" spans="1:13" x14ac:dyDescent="0.2">
      <c r="A38" t="s">
        <v>50</v>
      </c>
      <c r="B38">
        <v>21</v>
      </c>
      <c r="C38" t="s">
        <v>13</v>
      </c>
      <c r="D38">
        <v>7.2</v>
      </c>
      <c r="E38">
        <v>2.9</v>
      </c>
      <c r="G38">
        <v>2.8</v>
      </c>
      <c r="H38">
        <v>1.4</v>
      </c>
      <c r="I38">
        <v>6.1</v>
      </c>
      <c r="J38">
        <v>70</v>
      </c>
      <c r="K38">
        <v>2.4</v>
      </c>
      <c r="L38">
        <v>6.89</v>
      </c>
      <c r="M38">
        <v>7.09</v>
      </c>
    </row>
    <row r="39" spans="1:13" x14ac:dyDescent="0.2">
      <c r="A39" t="s">
        <v>51</v>
      </c>
      <c r="B39">
        <v>20</v>
      </c>
      <c r="C39" t="s">
        <v>13</v>
      </c>
      <c r="D39">
        <v>7.8</v>
      </c>
      <c r="E39">
        <v>3.1</v>
      </c>
      <c r="G39">
        <v>2.2000000000000002</v>
      </c>
      <c r="H39">
        <v>1.6</v>
      </c>
      <c r="I39">
        <v>6.5</v>
      </c>
      <c r="J39">
        <v>72</v>
      </c>
      <c r="K39">
        <v>2.4</v>
      </c>
      <c r="L39">
        <v>7.01</v>
      </c>
      <c r="M39">
        <v>7.21</v>
      </c>
    </row>
    <row r="40" spans="1:13" x14ac:dyDescent="0.2">
      <c r="A40" t="s">
        <v>52</v>
      </c>
      <c r="B40">
        <v>24</v>
      </c>
      <c r="C40" t="s">
        <v>13</v>
      </c>
      <c r="D40">
        <v>6.4</v>
      </c>
      <c r="E40">
        <v>2.6</v>
      </c>
      <c r="G40">
        <v>3.6</v>
      </c>
      <c r="H40">
        <v>1.3</v>
      </c>
      <c r="I40">
        <v>7.3</v>
      </c>
      <c r="J40">
        <v>78</v>
      </c>
      <c r="K40">
        <v>2.6</v>
      </c>
      <c r="L40">
        <v>7.67</v>
      </c>
      <c r="M40">
        <v>7.87</v>
      </c>
    </row>
    <row r="41" spans="1:13" x14ac:dyDescent="0.2">
      <c r="A41" t="s">
        <v>53</v>
      </c>
      <c r="B41">
        <v>19</v>
      </c>
      <c r="C41" t="s">
        <v>17</v>
      </c>
      <c r="D41">
        <v>9.4</v>
      </c>
      <c r="E41">
        <v>3.8</v>
      </c>
      <c r="G41">
        <v>0.6</v>
      </c>
      <c r="H41">
        <v>1.9</v>
      </c>
      <c r="I41">
        <v>5</v>
      </c>
      <c r="J41">
        <v>62</v>
      </c>
      <c r="K41">
        <v>2.1</v>
      </c>
      <c r="L41">
        <v>6.09</v>
      </c>
      <c r="M41">
        <v>6.29</v>
      </c>
    </row>
    <row r="42" spans="1:13" x14ac:dyDescent="0.2">
      <c r="A42" t="s">
        <v>54</v>
      </c>
      <c r="B42">
        <v>19</v>
      </c>
      <c r="C42" t="s">
        <v>13</v>
      </c>
      <c r="D42">
        <v>4</v>
      </c>
      <c r="E42">
        <v>1.6</v>
      </c>
      <c r="G42">
        <v>6</v>
      </c>
      <c r="H42">
        <v>0.8</v>
      </c>
      <c r="I42">
        <v>7.8</v>
      </c>
      <c r="J42">
        <v>81</v>
      </c>
      <c r="K42">
        <v>2.7</v>
      </c>
      <c r="L42">
        <v>7.9199999999999902</v>
      </c>
      <c r="M42">
        <v>8.1199999999999992</v>
      </c>
    </row>
    <row r="43" spans="1:13" x14ac:dyDescent="0.2">
      <c r="A43" t="s">
        <v>55</v>
      </c>
      <c r="B43">
        <v>20</v>
      </c>
      <c r="C43" t="s">
        <v>13</v>
      </c>
      <c r="D43">
        <v>10</v>
      </c>
      <c r="E43">
        <v>4</v>
      </c>
      <c r="G43">
        <v>0</v>
      </c>
      <c r="H43">
        <v>2</v>
      </c>
      <c r="I43">
        <v>5</v>
      </c>
      <c r="J43">
        <v>57</v>
      </c>
      <c r="K43">
        <v>1.9</v>
      </c>
      <c r="L43">
        <v>5.53</v>
      </c>
      <c r="M43">
        <v>5.73</v>
      </c>
    </row>
    <row r="44" spans="1:13" x14ac:dyDescent="0.2">
      <c r="A44" t="s">
        <v>56</v>
      </c>
      <c r="B44">
        <v>19</v>
      </c>
      <c r="C44" t="s">
        <v>13</v>
      </c>
      <c r="D44">
        <v>7.9</v>
      </c>
      <c r="E44">
        <v>3.2</v>
      </c>
      <c r="G44">
        <v>2.1</v>
      </c>
      <c r="H44">
        <v>1.6</v>
      </c>
      <c r="I44">
        <v>7</v>
      </c>
      <c r="J44">
        <v>78</v>
      </c>
      <c r="K44">
        <v>2.6</v>
      </c>
      <c r="L44">
        <v>7.62</v>
      </c>
      <c r="M44">
        <v>7.82</v>
      </c>
    </row>
    <row r="45" spans="1:13" x14ac:dyDescent="0.2">
      <c r="A45" t="s">
        <v>57</v>
      </c>
      <c r="B45">
        <v>22</v>
      </c>
      <c r="C45" t="s">
        <v>13</v>
      </c>
      <c r="D45">
        <v>5.6</v>
      </c>
      <c r="E45">
        <v>2.2000000000000002</v>
      </c>
      <c r="G45">
        <v>4.4000000000000004</v>
      </c>
      <c r="H45">
        <v>1.1000000000000001</v>
      </c>
      <c r="I45">
        <v>8.5</v>
      </c>
      <c r="J45">
        <v>82</v>
      </c>
      <c r="K45">
        <v>2.8</v>
      </c>
      <c r="L45">
        <v>8.09</v>
      </c>
      <c r="M45">
        <v>8.2899999999999991</v>
      </c>
    </row>
    <row r="46" spans="1:13" x14ac:dyDescent="0.2">
      <c r="A46" t="s">
        <v>58</v>
      </c>
      <c r="B46">
        <v>21</v>
      </c>
      <c r="C46" t="s">
        <v>13</v>
      </c>
      <c r="D46">
        <v>7.8</v>
      </c>
      <c r="E46">
        <v>3.1</v>
      </c>
      <c r="G46">
        <v>2.2000000000000002</v>
      </c>
      <c r="H46">
        <v>1.6</v>
      </c>
      <c r="I46">
        <v>6.8</v>
      </c>
      <c r="J46">
        <v>77</v>
      </c>
      <c r="K46">
        <v>2.6</v>
      </c>
      <c r="L46">
        <v>7.55</v>
      </c>
      <c r="M46">
        <v>7.75</v>
      </c>
    </row>
    <row r="47" spans="1:13" x14ac:dyDescent="0.2">
      <c r="A47" t="s">
        <v>59</v>
      </c>
      <c r="B47">
        <v>17</v>
      </c>
      <c r="C47" t="s">
        <v>13</v>
      </c>
      <c r="D47">
        <v>8.3000000000000007</v>
      </c>
      <c r="E47">
        <v>3.3</v>
      </c>
      <c r="G47">
        <v>1.7</v>
      </c>
      <c r="H47">
        <v>1.7</v>
      </c>
      <c r="I47">
        <v>5</v>
      </c>
      <c r="J47">
        <v>58</v>
      </c>
      <c r="K47">
        <v>2</v>
      </c>
      <c r="L47">
        <v>5.67</v>
      </c>
      <c r="M47">
        <v>5.87</v>
      </c>
    </row>
    <row r="48" spans="1:13" x14ac:dyDescent="0.2">
      <c r="A48" t="s">
        <v>60</v>
      </c>
      <c r="B48">
        <v>25</v>
      </c>
      <c r="C48" t="s">
        <v>17</v>
      </c>
      <c r="D48">
        <v>9.6</v>
      </c>
      <c r="E48">
        <v>3.8</v>
      </c>
      <c r="G48">
        <v>0.4</v>
      </c>
      <c r="H48">
        <v>1.9</v>
      </c>
      <c r="I48">
        <v>6.4</v>
      </c>
      <c r="J48">
        <v>67</v>
      </c>
      <c r="K48">
        <v>2.2000000000000002</v>
      </c>
      <c r="L48">
        <v>6.54</v>
      </c>
      <c r="M48">
        <v>6.74</v>
      </c>
    </row>
    <row r="49" spans="1:13" x14ac:dyDescent="0.2">
      <c r="A49" t="s">
        <v>61</v>
      </c>
      <c r="B49">
        <v>17</v>
      </c>
      <c r="C49" t="s">
        <v>13</v>
      </c>
      <c r="D49">
        <v>9.6</v>
      </c>
      <c r="E49">
        <v>3.8</v>
      </c>
      <c r="G49">
        <v>0.4</v>
      </c>
      <c r="H49">
        <v>1.9</v>
      </c>
      <c r="I49">
        <v>6.4</v>
      </c>
      <c r="J49">
        <v>60</v>
      </c>
      <c r="K49">
        <v>2</v>
      </c>
      <c r="L49">
        <v>5.8599999999999897</v>
      </c>
      <c r="M49">
        <v>6.06</v>
      </c>
    </row>
    <row r="50" spans="1:13" x14ac:dyDescent="0.2">
      <c r="A50" t="s">
        <v>62</v>
      </c>
      <c r="B50">
        <v>18</v>
      </c>
      <c r="C50" t="s">
        <v>17</v>
      </c>
      <c r="D50">
        <v>5.8</v>
      </c>
      <c r="E50">
        <v>2.2999999999999998</v>
      </c>
      <c r="G50">
        <v>4.2</v>
      </c>
      <c r="H50">
        <v>1.2</v>
      </c>
      <c r="I50">
        <v>8.3000000000000007</v>
      </c>
      <c r="J50">
        <v>85</v>
      </c>
      <c r="K50">
        <v>2.9</v>
      </c>
      <c r="L50">
        <v>8.3699999999999992</v>
      </c>
      <c r="M50">
        <v>8.57</v>
      </c>
    </row>
    <row r="51" spans="1:13" x14ac:dyDescent="0.2">
      <c r="A51" t="s">
        <v>63</v>
      </c>
      <c r="B51">
        <v>18</v>
      </c>
      <c r="C51" t="s">
        <v>13</v>
      </c>
      <c r="D51">
        <v>6.4</v>
      </c>
      <c r="E51">
        <v>2.6</v>
      </c>
      <c r="G51">
        <v>3.6</v>
      </c>
      <c r="H51">
        <v>1.3</v>
      </c>
      <c r="I51">
        <v>7.4</v>
      </c>
      <c r="J51">
        <v>78</v>
      </c>
      <c r="K51">
        <v>2.6</v>
      </c>
      <c r="L51">
        <v>7.6099999999999897</v>
      </c>
      <c r="M51">
        <v>7.81</v>
      </c>
    </row>
    <row r="52" spans="1:13" x14ac:dyDescent="0.2">
      <c r="A52" t="s">
        <v>64</v>
      </c>
      <c r="B52">
        <v>18</v>
      </c>
      <c r="C52" t="s">
        <v>13</v>
      </c>
      <c r="D52">
        <v>8</v>
      </c>
      <c r="E52">
        <v>3.2</v>
      </c>
      <c r="G52">
        <v>2</v>
      </c>
      <c r="H52">
        <v>1.6</v>
      </c>
      <c r="I52">
        <v>5.4</v>
      </c>
      <c r="J52">
        <v>59</v>
      </c>
      <c r="K52">
        <v>2</v>
      </c>
      <c r="L52">
        <v>5.77</v>
      </c>
      <c r="M52">
        <v>5.97</v>
      </c>
    </row>
    <row r="53" spans="1:13" x14ac:dyDescent="0.2">
      <c r="A53" t="s">
        <v>65</v>
      </c>
      <c r="B53">
        <v>23</v>
      </c>
      <c r="C53" t="s">
        <v>13</v>
      </c>
      <c r="D53">
        <v>8.4</v>
      </c>
      <c r="E53">
        <v>3.4</v>
      </c>
      <c r="G53">
        <v>1.6</v>
      </c>
      <c r="H53">
        <v>1.7</v>
      </c>
      <c r="I53">
        <v>6.1</v>
      </c>
      <c r="J53">
        <v>64</v>
      </c>
      <c r="K53">
        <v>2.1</v>
      </c>
      <c r="L53">
        <v>6.21</v>
      </c>
      <c r="M53">
        <v>6.41</v>
      </c>
    </row>
    <row r="54" spans="1:13" x14ac:dyDescent="0.2">
      <c r="A54" t="s">
        <v>66</v>
      </c>
      <c r="B54">
        <v>23</v>
      </c>
      <c r="C54" t="s">
        <v>17</v>
      </c>
      <c r="D54">
        <v>8.9</v>
      </c>
      <c r="E54">
        <v>3.6</v>
      </c>
      <c r="G54">
        <v>1.1000000000000001</v>
      </c>
      <c r="H54">
        <v>1.8</v>
      </c>
      <c r="I54">
        <v>6.4</v>
      </c>
      <c r="J54">
        <v>66</v>
      </c>
      <c r="K54">
        <v>2.2000000000000002</v>
      </c>
      <c r="L54">
        <v>6.43</v>
      </c>
      <c r="M54">
        <v>6.63</v>
      </c>
    </row>
    <row r="55" spans="1:13" x14ac:dyDescent="0.2">
      <c r="A55" t="s">
        <v>67</v>
      </c>
      <c r="B55">
        <v>23</v>
      </c>
      <c r="C55" t="s">
        <v>17</v>
      </c>
      <c r="D55">
        <v>7.8</v>
      </c>
      <c r="E55">
        <v>3.1</v>
      </c>
      <c r="G55">
        <v>2.2000000000000002</v>
      </c>
      <c r="H55">
        <v>1.6</v>
      </c>
      <c r="I55">
        <v>6.1</v>
      </c>
      <c r="J55">
        <v>70</v>
      </c>
      <c r="K55">
        <v>2.2999999999999998</v>
      </c>
      <c r="L55">
        <v>6.83</v>
      </c>
      <c r="M55">
        <v>7.03</v>
      </c>
    </row>
    <row r="56" spans="1:13" x14ac:dyDescent="0.2">
      <c r="A56" t="s">
        <v>68</v>
      </c>
      <c r="B56">
        <v>19</v>
      </c>
      <c r="C56" t="s">
        <v>17</v>
      </c>
      <c r="D56">
        <v>6.3</v>
      </c>
      <c r="E56">
        <v>2.5</v>
      </c>
      <c r="G56">
        <v>3.7</v>
      </c>
      <c r="H56">
        <v>1.3</v>
      </c>
      <c r="I56">
        <v>6.9</v>
      </c>
      <c r="J56">
        <v>69</v>
      </c>
      <c r="K56">
        <v>2.2999999999999998</v>
      </c>
      <c r="L56">
        <v>6.71</v>
      </c>
      <c r="M56">
        <v>6.91</v>
      </c>
    </row>
    <row r="57" spans="1:13" x14ac:dyDescent="0.2">
      <c r="A57" t="s">
        <v>69</v>
      </c>
      <c r="B57">
        <v>22</v>
      </c>
      <c r="C57" t="s">
        <v>17</v>
      </c>
      <c r="D57">
        <v>4.9000000000000004</v>
      </c>
      <c r="E57">
        <v>2</v>
      </c>
      <c r="G57">
        <v>5.0999999999999996</v>
      </c>
      <c r="H57">
        <v>1</v>
      </c>
      <c r="I57">
        <v>8.3000000000000007</v>
      </c>
      <c r="J57">
        <v>97</v>
      </c>
      <c r="K57">
        <v>3.3</v>
      </c>
      <c r="L57">
        <v>9.56</v>
      </c>
      <c r="M57">
        <v>9.76</v>
      </c>
    </row>
    <row r="58" spans="1:13" x14ac:dyDescent="0.2">
      <c r="A58" t="s">
        <v>70</v>
      </c>
      <c r="B58">
        <v>17</v>
      </c>
      <c r="C58" t="s">
        <v>13</v>
      </c>
      <c r="D58">
        <v>4.2</v>
      </c>
      <c r="E58">
        <v>1.7</v>
      </c>
      <c r="G58">
        <v>5.8</v>
      </c>
      <c r="H58">
        <v>0.8</v>
      </c>
      <c r="I58">
        <v>7.5</v>
      </c>
      <c r="J58">
        <v>94</v>
      </c>
      <c r="K58">
        <v>3.2</v>
      </c>
      <c r="L58">
        <v>9.25</v>
      </c>
      <c r="M58">
        <v>9.4499999999999993</v>
      </c>
    </row>
    <row r="59" spans="1:13" x14ac:dyDescent="0.2">
      <c r="A59" t="s">
        <v>71</v>
      </c>
      <c r="B59">
        <v>22</v>
      </c>
      <c r="C59" t="s">
        <v>17</v>
      </c>
      <c r="D59">
        <v>8.6</v>
      </c>
      <c r="E59">
        <v>3.4</v>
      </c>
      <c r="G59">
        <v>1.4</v>
      </c>
      <c r="H59">
        <v>1.7</v>
      </c>
      <c r="I59">
        <v>5.9</v>
      </c>
      <c r="J59">
        <v>57</v>
      </c>
      <c r="K59">
        <v>1.9</v>
      </c>
      <c r="L59">
        <v>5.58</v>
      </c>
      <c r="M59">
        <v>5.78</v>
      </c>
    </row>
    <row r="60" spans="1:13" x14ac:dyDescent="0.2">
      <c r="A60" t="s">
        <v>72</v>
      </c>
      <c r="B60">
        <v>20</v>
      </c>
      <c r="C60" t="s">
        <v>13</v>
      </c>
      <c r="D60">
        <v>5.2</v>
      </c>
      <c r="E60">
        <v>2.1</v>
      </c>
      <c r="G60">
        <v>4.8</v>
      </c>
      <c r="H60">
        <v>1</v>
      </c>
      <c r="I60">
        <v>8</v>
      </c>
      <c r="J60">
        <v>86</v>
      </c>
      <c r="K60">
        <v>2.9</v>
      </c>
      <c r="L60">
        <v>8.42</v>
      </c>
      <c r="M60">
        <v>8.6199999999999992</v>
      </c>
    </row>
    <row r="61" spans="1:13" x14ac:dyDescent="0.2">
      <c r="A61" t="s">
        <v>73</v>
      </c>
      <c r="B61">
        <v>24</v>
      </c>
      <c r="C61" t="s">
        <v>17</v>
      </c>
      <c r="D61">
        <v>9.9</v>
      </c>
      <c r="E61">
        <v>4</v>
      </c>
      <c r="G61">
        <v>0.1</v>
      </c>
      <c r="H61">
        <v>2</v>
      </c>
      <c r="I61">
        <v>5.5</v>
      </c>
      <c r="J61">
        <v>61</v>
      </c>
      <c r="K61">
        <v>2.1</v>
      </c>
      <c r="L61">
        <v>5.97</v>
      </c>
      <c r="M61">
        <v>6.17</v>
      </c>
    </row>
    <row r="62" spans="1:13" x14ac:dyDescent="0.2">
      <c r="A62" t="s">
        <v>74</v>
      </c>
      <c r="B62">
        <v>21</v>
      </c>
      <c r="C62" t="s">
        <v>13</v>
      </c>
      <c r="D62">
        <v>6.6</v>
      </c>
      <c r="E62">
        <v>2.6</v>
      </c>
      <c r="G62">
        <v>3.4</v>
      </c>
      <c r="H62">
        <v>1.3</v>
      </c>
      <c r="I62">
        <v>6.4</v>
      </c>
      <c r="J62">
        <v>76</v>
      </c>
      <c r="K62">
        <v>2.6</v>
      </c>
      <c r="L62">
        <v>7.49</v>
      </c>
      <c r="M62">
        <v>7.69</v>
      </c>
    </row>
    <row r="63" spans="1:13" x14ac:dyDescent="0.2">
      <c r="A63" t="s">
        <v>75</v>
      </c>
      <c r="B63">
        <v>17</v>
      </c>
      <c r="C63" t="s">
        <v>17</v>
      </c>
      <c r="D63">
        <v>9</v>
      </c>
      <c r="E63">
        <v>3.6</v>
      </c>
      <c r="G63">
        <v>1</v>
      </c>
      <c r="H63">
        <v>1.8</v>
      </c>
      <c r="I63">
        <v>5.6</v>
      </c>
      <c r="J63">
        <v>64</v>
      </c>
      <c r="K63">
        <v>2.1</v>
      </c>
      <c r="L63">
        <v>6.2</v>
      </c>
      <c r="M63">
        <v>6.4</v>
      </c>
    </row>
    <row r="64" spans="1:13" x14ac:dyDescent="0.2">
      <c r="A64" t="s">
        <v>76</v>
      </c>
      <c r="B64">
        <v>21</v>
      </c>
      <c r="C64" t="s">
        <v>17</v>
      </c>
      <c r="D64">
        <v>5.5</v>
      </c>
      <c r="E64">
        <v>2.2000000000000002</v>
      </c>
      <c r="G64">
        <v>4.5</v>
      </c>
      <c r="H64">
        <v>1.1000000000000001</v>
      </c>
      <c r="I64">
        <v>8.1</v>
      </c>
      <c r="J64">
        <v>89</v>
      </c>
      <c r="K64">
        <v>3</v>
      </c>
      <c r="L64">
        <v>8.6999999999999993</v>
      </c>
      <c r="M64">
        <v>8.9</v>
      </c>
    </row>
    <row r="65" spans="1:13" x14ac:dyDescent="0.2">
      <c r="A65" t="s">
        <v>77</v>
      </c>
      <c r="B65">
        <v>23</v>
      </c>
      <c r="C65" t="s">
        <v>17</v>
      </c>
      <c r="D65">
        <v>9.6999999999999993</v>
      </c>
      <c r="E65">
        <v>3.9</v>
      </c>
      <c r="G65">
        <v>0.3</v>
      </c>
      <c r="H65">
        <v>1.9</v>
      </c>
      <c r="I65">
        <v>5.8</v>
      </c>
      <c r="J65">
        <v>64</v>
      </c>
      <c r="K65">
        <v>2.2000000000000002</v>
      </c>
      <c r="L65">
        <v>6.26</v>
      </c>
      <c r="M65">
        <v>6.46</v>
      </c>
    </row>
    <row r="66" spans="1:13" x14ac:dyDescent="0.2">
      <c r="A66" t="s">
        <v>78</v>
      </c>
      <c r="B66">
        <v>21</v>
      </c>
      <c r="C66" t="s">
        <v>17</v>
      </c>
      <c r="D66">
        <v>5.5</v>
      </c>
      <c r="E66">
        <v>2.2000000000000002</v>
      </c>
      <c r="G66">
        <v>4.5</v>
      </c>
      <c r="H66">
        <v>1.1000000000000001</v>
      </c>
      <c r="I66">
        <v>8.1</v>
      </c>
      <c r="J66">
        <v>85</v>
      </c>
      <c r="K66">
        <v>2.8</v>
      </c>
      <c r="L66">
        <v>8.31</v>
      </c>
      <c r="M66">
        <v>8.51</v>
      </c>
    </row>
    <row r="67" spans="1:13" x14ac:dyDescent="0.2">
      <c r="A67" t="s">
        <v>79</v>
      </c>
      <c r="B67">
        <v>21</v>
      </c>
      <c r="C67" t="s">
        <v>17</v>
      </c>
      <c r="D67">
        <v>4.2</v>
      </c>
      <c r="E67">
        <v>1.7</v>
      </c>
      <c r="G67">
        <v>5.8</v>
      </c>
      <c r="H67">
        <v>0.8</v>
      </c>
      <c r="I67">
        <v>8.1</v>
      </c>
      <c r="J67">
        <v>95</v>
      </c>
      <c r="K67">
        <v>3.2</v>
      </c>
      <c r="L67">
        <v>9.31</v>
      </c>
      <c r="M67">
        <v>9.51</v>
      </c>
    </row>
    <row r="68" spans="1:13" x14ac:dyDescent="0.2">
      <c r="A68" t="s">
        <v>80</v>
      </c>
      <c r="B68">
        <v>22</v>
      </c>
      <c r="C68" t="s">
        <v>17</v>
      </c>
      <c r="D68">
        <v>6.1</v>
      </c>
      <c r="E68">
        <v>2.4</v>
      </c>
      <c r="G68">
        <v>3.9</v>
      </c>
      <c r="H68">
        <v>1.2</v>
      </c>
      <c r="I68">
        <v>7</v>
      </c>
      <c r="J68">
        <v>73</v>
      </c>
      <c r="K68">
        <v>2.5</v>
      </c>
      <c r="L68">
        <v>7.16</v>
      </c>
      <c r="M68">
        <v>7.36</v>
      </c>
    </row>
    <row r="69" spans="1:13" x14ac:dyDescent="0.2">
      <c r="A69" t="s">
        <v>81</v>
      </c>
      <c r="B69">
        <v>17</v>
      </c>
      <c r="C69" t="s">
        <v>13</v>
      </c>
      <c r="D69">
        <v>9.3000000000000007</v>
      </c>
      <c r="E69">
        <v>3.7</v>
      </c>
      <c r="G69">
        <v>0.7</v>
      </c>
      <c r="H69">
        <v>1.9</v>
      </c>
      <c r="I69">
        <v>5</v>
      </c>
      <c r="J69">
        <v>58</v>
      </c>
      <c r="K69">
        <v>1.9</v>
      </c>
      <c r="L69">
        <v>5.64</v>
      </c>
      <c r="M69">
        <v>5.84</v>
      </c>
    </row>
    <row r="70" spans="1:13" x14ac:dyDescent="0.2">
      <c r="A70" t="s">
        <v>82</v>
      </c>
      <c r="B70">
        <v>18</v>
      </c>
      <c r="C70" t="s">
        <v>17</v>
      </c>
      <c r="D70">
        <v>8</v>
      </c>
      <c r="E70">
        <v>3.2</v>
      </c>
      <c r="G70">
        <v>2</v>
      </c>
      <c r="H70">
        <v>1.6</v>
      </c>
      <c r="I70">
        <v>5.0999999999999996</v>
      </c>
      <c r="J70">
        <v>57</v>
      </c>
      <c r="K70">
        <v>1.9</v>
      </c>
      <c r="L70">
        <v>5.51</v>
      </c>
      <c r="M70">
        <v>5.71</v>
      </c>
    </row>
    <row r="71" spans="1:13" x14ac:dyDescent="0.2">
      <c r="A71" t="s">
        <v>83</v>
      </c>
      <c r="B71">
        <v>19</v>
      </c>
      <c r="C71" t="s">
        <v>13</v>
      </c>
      <c r="D71">
        <v>9.1999999999999993</v>
      </c>
      <c r="E71">
        <v>3.7</v>
      </c>
      <c r="G71">
        <v>0.8</v>
      </c>
      <c r="H71">
        <v>1.8</v>
      </c>
      <c r="I71">
        <v>6.2</v>
      </c>
      <c r="J71">
        <v>63</v>
      </c>
      <c r="K71">
        <v>2.1</v>
      </c>
      <c r="L71">
        <v>6.13</v>
      </c>
      <c r="M71">
        <v>6.33</v>
      </c>
    </row>
    <row r="72" spans="1:13" x14ac:dyDescent="0.2">
      <c r="A72" t="s">
        <v>84</v>
      </c>
      <c r="B72">
        <v>17</v>
      </c>
      <c r="C72" t="s">
        <v>17</v>
      </c>
      <c r="D72">
        <v>4.8</v>
      </c>
      <c r="E72">
        <v>1.9</v>
      </c>
      <c r="G72">
        <v>5.2</v>
      </c>
      <c r="H72">
        <v>1</v>
      </c>
      <c r="I72">
        <v>8.1999999999999993</v>
      </c>
      <c r="J72">
        <v>94</v>
      </c>
      <c r="K72">
        <v>3.1</v>
      </c>
      <c r="L72">
        <v>9.2200000000000006</v>
      </c>
      <c r="M72">
        <v>9.42</v>
      </c>
    </row>
    <row r="73" spans="1:13" x14ac:dyDescent="0.2">
      <c r="A73" t="s">
        <v>85</v>
      </c>
      <c r="B73">
        <v>19</v>
      </c>
      <c r="C73" t="s">
        <v>13</v>
      </c>
      <c r="D73">
        <v>7.9</v>
      </c>
      <c r="E73">
        <v>3.2</v>
      </c>
      <c r="G73">
        <v>2.1</v>
      </c>
      <c r="H73">
        <v>1.6</v>
      </c>
      <c r="I73">
        <v>6.4</v>
      </c>
      <c r="J73">
        <v>70</v>
      </c>
      <c r="K73">
        <v>2.4</v>
      </c>
      <c r="L73">
        <v>6.85</v>
      </c>
      <c r="M73">
        <v>7.05</v>
      </c>
    </row>
    <row r="74" spans="1:13" x14ac:dyDescent="0.2">
      <c r="A74" t="s">
        <v>86</v>
      </c>
      <c r="B74">
        <v>18</v>
      </c>
      <c r="C74" t="s">
        <v>17</v>
      </c>
      <c r="D74">
        <v>8.1</v>
      </c>
      <c r="E74">
        <v>3.2</v>
      </c>
      <c r="G74">
        <v>1.9</v>
      </c>
      <c r="H74">
        <v>1.6</v>
      </c>
      <c r="I74">
        <v>5.5</v>
      </c>
      <c r="J74">
        <v>55</v>
      </c>
      <c r="K74">
        <v>1.9</v>
      </c>
      <c r="L74">
        <v>5.39</v>
      </c>
      <c r="M74">
        <v>5.59</v>
      </c>
    </row>
    <row r="75" spans="1:13" x14ac:dyDescent="0.2">
      <c r="A75" t="s">
        <v>87</v>
      </c>
      <c r="B75">
        <v>20</v>
      </c>
      <c r="C75" t="s">
        <v>17</v>
      </c>
      <c r="D75">
        <v>5.7</v>
      </c>
      <c r="E75">
        <v>2.2999999999999998</v>
      </c>
      <c r="G75">
        <v>4.3</v>
      </c>
      <c r="H75">
        <v>1.1000000000000001</v>
      </c>
      <c r="I75">
        <v>8</v>
      </c>
      <c r="J75">
        <v>80</v>
      </c>
      <c r="K75">
        <v>2.7</v>
      </c>
      <c r="L75">
        <v>7.8399999999999901</v>
      </c>
      <c r="M75">
        <v>8.0399999999999991</v>
      </c>
    </row>
    <row r="76" spans="1:13" x14ac:dyDescent="0.2">
      <c r="A76" t="s">
        <v>88</v>
      </c>
      <c r="B76">
        <v>24</v>
      </c>
      <c r="C76" t="s">
        <v>13</v>
      </c>
      <c r="D76">
        <v>8.8000000000000007</v>
      </c>
      <c r="E76">
        <v>3.5</v>
      </c>
      <c r="G76">
        <v>1.2</v>
      </c>
      <c r="H76">
        <v>1.8</v>
      </c>
      <c r="I76">
        <v>5.3</v>
      </c>
      <c r="J76">
        <v>58</v>
      </c>
      <c r="K76">
        <v>2</v>
      </c>
      <c r="L76">
        <v>5.67</v>
      </c>
      <c r="M76">
        <v>5.87</v>
      </c>
    </row>
    <row r="77" spans="1:13" x14ac:dyDescent="0.2">
      <c r="A77" t="s">
        <v>89</v>
      </c>
      <c r="B77">
        <v>23</v>
      </c>
      <c r="C77" t="s">
        <v>13</v>
      </c>
      <c r="D77">
        <v>7.5</v>
      </c>
      <c r="E77">
        <v>3</v>
      </c>
      <c r="G77">
        <v>2.5</v>
      </c>
      <c r="H77">
        <v>1.5</v>
      </c>
      <c r="I77">
        <v>6.2</v>
      </c>
      <c r="J77">
        <v>76</v>
      </c>
      <c r="K77">
        <v>2.6</v>
      </c>
      <c r="L77">
        <v>7.4799999999999898</v>
      </c>
      <c r="M77">
        <v>7.68</v>
      </c>
    </row>
    <row r="78" spans="1:13" x14ac:dyDescent="0.2">
      <c r="A78" t="s">
        <v>90</v>
      </c>
      <c r="B78">
        <v>23</v>
      </c>
      <c r="C78" t="s">
        <v>17</v>
      </c>
      <c r="D78">
        <v>6</v>
      </c>
      <c r="E78">
        <v>2.4</v>
      </c>
      <c r="G78">
        <v>4</v>
      </c>
      <c r="H78">
        <v>1.2</v>
      </c>
      <c r="I78">
        <v>7.3</v>
      </c>
      <c r="J78">
        <v>79</v>
      </c>
      <c r="K78">
        <v>2.6</v>
      </c>
      <c r="L78">
        <v>7.72</v>
      </c>
      <c r="M78">
        <v>7.92</v>
      </c>
    </row>
    <row r="79" spans="1:13" x14ac:dyDescent="0.2">
      <c r="A79" t="s">
        <v>91</v>
      </c>
      <c r="B79">
        <v>20</v>
      </c>
      <c r="C79" t="s">
        <v>13</v>
      </c>
      <c r="D79">
        <v>8.4</v>
      </c>
      <c r="E79">
        <v>3.4</v>
      </c>
      <c r="G79">
        <v>1.6</v>
      </c>
      <c r="H79">
        <v>1.7</v>
      </c>
      <c r="I79">
        <v>5.6</v>
      </c>
      <c r="J79">
        <v>58</v>
      </c>
      <c r="K79">
        <v>1.9</v>
      </c>
      <c r="L79">
        <v>5.6099999999999897</v>
      </c>
      <c r="M79">
        <v>5.81</v>
      </c>
    </row>
    <row r="80" spans="1:13" x14ac:dyDescent="0.2">
      <c r="A80" t="s">
        <v>92</v>
      </c>
      <c r="B80">
        <v>25</v>
      </c>
      <c r="C80" t="s">
        <v>17</v>
      </c>
      <c r="D80">
        <v>6.3</v>
      </c>
      <c r="E80">
        <v>2.5</v>
      </c>
      <c r="G80">
        <v>3.7</v>
      </c>
      <c r="H80">
        <v>1.3</v>
      </c>
      <c r="I80">
        <v>6.1</v>
      </c>
      <c r="J80">
        <v>71</v>
      </c>
      <c r="K80">
        <v>2.4</v>
      </c>
      <c r="L80">
        <v>6.96</v>
      </c>
      <c r="M80">
        <v>7.16</v>
      </c>
    </row>
    <row r="81" spans="1:13" x14ac:dyDescent="0.2">
      <c r="A81" t="s">
        <v>93</v>
      </c>
      <c r="B81">
        <v>19</v>
      </c>
      <c r="C81" t="s">
        <v>13</v>
      </c>
      <c r="D81">
        <v>4.5</v>
      </c>
      <c r="E81">
        <v>1.8</v>
      </c>
      <c r="G81">
        <v>5.5</v>
      </c>
      <c r="H81">
        <v>0.9</v>
      </c>
      <c r="I81">
        <v>8.4</v>
      </c>
      <c r="J81">
        <v>84</v>
      </c>
      <c r="K81">
        <v>2.8</v>
      </c>
      <c r="L81">
        <v>8.24</v>
      </c>
      <c r="M81">
        <v>8.44</v>
      </c>
    </row>
    <row r="82" spans="1:13" x14ac:dyDescent="0.2">
      <c r="A82" t="s">
        <v>94</v>
      </c>
      <c r="B82">
        <v>20</v>
      </c>
      <c r="C82" t="s">
        <v>17</v>
      </c>
      <c r="D82">
        <v>7.8</v>
      </c>
      <c r="E82">
        <v>3.1</v>
      </c>
      <c r="G82">
        <v>2.2000000000000002</v>
      </c>
      <c r="H82">
        <v>1.6</v>
      </c>
      <c r="I82">
        <v>6.4</v>
      </c>
      <c r="J82">
        <v>73</v>
      </c>
      <c r="K82">
        <v>2.4</v>
      </c>
      <c r="L82">
        <v>7.14</v>
      </c>
      <c r="M82">
        <v>7.34</v>
      </c>
    </row>
    <row r="83" spans="1:13" x14ac:dyDescent="0.2">
      <c r="A83" t="s">
        <v>95</v>
      </c>
      <c r="B83">
        <v>21</v>
      </c>
      <c r="C83" t="s">
        <v>13</v>
      </c>
      <c r="D83">
        <v>5.3</v>
      </c>
      <c r="E83">
        <v>2.1</v>
      </c>
      <c r="G83">
        <v>4.7</v>
      </c>
      <c r="H83">
        <v>1.1000000000000001</v>
      </c>
      <c r="I83">
        <v>8.1999999999999993</v>
      </c>
      <c r="J83">
        <v>96</v>
      </c>
      <c r="K83">
        <v>3.2</v>
      </c>
      <c r="L83">
        <v>9.49</v>
      </c>
      <c r="M83">
        <v>9.69</v>
      </c>
    </row>
    <row r="84" spans="1:13" x14ac:dyDescent="0.2">
      <c r="A84" t="s">
        <v>96</v>
      </c>
      <c r="B84">
        <v>23</v>
      </c>
      <c r="C84" t="s">
        <v>17</v>
      </c>
      <c r="D84">
        <v>9.8000000000000007</v>
      </c>
      <c r="E84">
        <v>3.9</v>
      </c>
      <c r="G84">
        <v>0.2</v>
      </c>
      <c r="H84">
        <v>2</v>
      </c>
      <c r="I84">
        <v>5.0999999999999996</v>
      </c>
      <c r="J84">
        <v>67</v>
      </c>
      <c r="K84">
        <v>2.2999999999999998</v>
      </c>
      <c r="L84">
        <v>6.59</v>
      </c>
      <c r="M84">
        <v>6.79</v>
      </c>
    </row>
    <row r="85" spans="1:13" x14ac:dyDescent="0.2">
      <c r="A85" t="s">
        <v>97</v>
      </c>
      <c r="B85">
        <v>17</v>
      </c>
      <c r="C85" t="s">
        <v>17</v>
      </c>
      <c r="D85">
        <v>6.1</v>
      </c>
      <c r="E85">
        <v>2.4</v>
      </c>
      <c r="G85">
        <v>3.9</v>
      </c>
      <c r="H85">
        <v>1.2</v>
      </c>
      <c r="I85">
        <v>6.2</v>
      </c>
      <c r="J85">
        <v>69</v>
      </c>
      <c r="K85">
        <v>2.2999999999999998</v>
      </c>
      <c r="L85">
        <v>6.74</v>
      </c>
      <c r="M85">
        <v>6.94</v>
      </c>
    </row>
    <row r="86" spans="1:13" x14ac:dyDescent="0.2">
      <c r="A86" t="s">
        <v>98</v>
      </c>
      <c r="B86">
        <v>18</v>
      </c>
      <c r="C86" t="s">
        <v>17</v>
      </c>
      <c r="D86">
        <v>9</v>
      </c>
      <c r="E86">
        <v>3.6</v>
      </c>
      <c r="G86">
        <v>1</v>
      </c>
      <c r="H86">
        <v>1.8</v>
      </c>
      <c r="I86">
        <v>5.3</v>
      </c>
      <c r="J86">
        <v>60</v>
      </c>
      <c r="K86">
        <v>2</v>
      </c>
      <c r="L86">
        <v>5.85</v>
      </c>
      <c r="M86">
        <v>6.05</v>
      </c>
    </row>
    <row r="87" spans="1:13" x14ac:dyDescent="0.2">
      <c r="A87" t="s">
        <v>99</v>
      </c>
      <c r="B87">
        <v>24</v>
      </c>
      <c r="C87" t="s">
        <v>13</v>
      </c>
      <c r="D87">
        <v>8.1999999999999993</v>
      </c>
      <c r="E87">
        <v>3.3</v>
      </c>
      <c r="G87">
        <v>1.8</v>
      </c>
      <c r="H87">
        <v>1.6</v>
      </c>
      <c r="I87">
        <v>5.0999999999999996</v>
      </c>
      <c r="J87">
        <v>56</v>
      </c>
      <c r="K87">
        <v>1.9</v>
      </c>
      <c r="L87">
        <v>5.41</v>
      </c>
      <c r="M87">
        <v>5.61</v>
      </c>
    </row>
    <row r="88" spans="1:13" x14ac:dyDescent="0.2">
      <c r="A88" t="s">
        <v>100</v>
      </c>
      <c r="B88">
        <v>25</v>
      </c>
      <c r="C88" t="s">
        <v>17</v>
      </c>
      <c r="D88">
        <v>9.1999999999999993</v>
      </c>
      <c r="E88">
        <v>3.7</v>
      </c>
      <c r="G88">
        <v>0.8</v>
      </c>
      <c r="H88">
        <v>1.8</v>
      </c>
      <c r="I88">
        <v>5.4</v>
      </c>
      <c r="J88">
        <v>66</v>
      </c>
      <c r="K88">
        <v>2.2000000000000002</v>
      </c>
      <c r="L88">
        <v>6.4399999999999897</v>
      </c>
      <c r="M88">
        <v>6.64</v>
      </c>
    </row>
    <row r="89" spans="1:13" x14ac:dyDescent="0.2">
      <c r="A89" t="s">
        <v>101</v>
      </c>
      <c r="B89">
        <v>23</v>
      </c>
      <c r="C89" t="s">
        <v>17</v>
      </c>
      <c r="D89">
        <v>8.5</v>
      </c>
      <c r="E89">
        <v>3.4</v>
      </c>
      <c r="G89">
        <v>1.5</v>
      </c>
      <c r="H89">
        <v>1.7</v>
      </c>
      <c r="I89">
        <v>5.0999999999999996</v>
      </c>
      <c r="J89">
        <v>59</v>
      </c>
      <c r="K89">
        <v>2</v>
      </c>
      <c r="L89">
        <v>5.79</v>
      </c>
      <c r="M89">
        <v>5.99</v>
      </c>
    </row>
    <row r="90" spans="1:13" x14ac:dyDescent="0.2">
      <c r="A90" t="s">
        <v>102</v>
      </c>
      <c r="B90">
        <v>20</v>
      </c>
      <c r="C90" t="s">
        <v>13</v>
      </c>
      <c r="D90">
        <v>5.5</v>
      </c>
      <c r="E90">
        <v>2.2000000000000002</v>
      </c>
      <c r="G90">
        <v>4.5</v>
      </c>
      <c r="H90">
        <v>1.1000000000000001</v>
      </c>
      <c r="I90">
        <v>7.7</v>
      </c>
      <c r="J90">
        <v>84</v>
      </c>
      <c r="K90">
        <v>2.8</v>
      </c>
      <c r="L90">
        <v>8.26</v>
      </c>
      <c r="M90">
        <v>8.4600000000000009</v>
      </c>
    </row>
    <row r="91" spans="1:13" x14ac:dyDescent="0.2">
      <c r="A91" t="s">
        <v>103</v>
      </c>
      <c r="B91">
        <v>25</v>
      </c>
      <c r="C91" t="s">
        <v>17</v>
      </c>
      <c r="D91">
        <v>8.6</v>
      </c>
      <c r="E91">
        <v>3.4</v>
      </c>
      <c r="G91">
        <v>1.4</v>
      </c>
      <c r="H91">
        <v>1.7</v>
      </c>
      <c r="I91">
        <v>6.1</v>
      </c>
      <c r="J91">
        <v>65</v>
      </c>
      <c r="K91">
        <v>2.2000000000000002</v>
      </c>
      <c r="L91">
        <v>6.37</v>
      </c>
      <c r="M91">
        <v>6.57</v>
      </c>
    </row>
    <row r="92" spans="1:13" x14ac:dyDescent="0.2">
      <c r="A92" t="s">
        <v>104</v>
      </c>
      <c r="B92">
        <v>22</v>
      </c>
      <c r="C92" t="s">
        <v>13</v>
      </c>
      <c r="D92">
        <v>6.9</v>
      </c>
      <c r="E92">
        <v>2.8</v>
      </c>
      <c r="G92">
        <v>3.1</v>
      </c>
      <c r="H92">
        <v>1.4</v>
      </c>
      <c r="I92">
        <v>6.8</v>
      </c>
      <c r="J92">
        <v>69</v>
      </c>
      <c r="K92">
        <v>2.2999999999999998</v>
      </c>
      <c r="L92">
        <v>6.7</v>
      </c>
      <c r="M92">
        <v>6.9</v>
      </c>
    </row>
    <row r="93" spans="1:13" x14ac:dyDescent="0.2">
      <c r="A93" t="s">
        <v>105</v>
      </c>
      <c r="B93">
        <v>22</v>
      </c>
      <c r="C93" t="s">
        <v>17</v>
      </c>
      <c r="D93">
        <v>4.0999999999999996</v>
      </c>
      <c r="E93">
        <v>1.6</v>
      </c>
      <c r="G93">
        <v>5.9</v>
      </c>
      <c r="H93">
        <v>0.8</v>
      </c>
      <c r="I93">
        <v>7.1</v>
      </c>
      <c r="J93">
        <v>97</v>
      </c>
      <c r="K93">
        <v>3.2</v>
      </c>
      <c r="L93">
        <v>9.5399999999999991</v>
      </c>
      <c r="M93">
        <v>9.74</v>
      </c>
    </row>
    <row r="94" spans="1:13" x14ac:dyDescent="0.2">
      <c r="A94" t="s">
        <v>106</v>
      </c>
      <c r="B94">
        <v>25</v>
      </c>
      <c r="C94" t="s">
        <v>13</v>
      </c>
      <c r="D94">
        <v>10</v>
      </c>
      <c r="E94">
        <v>4</v>
      </c>
      <c r="G94">
        <v>0</v>
      </c>
      <c r="H94">
        <v>2</v>
      </c>
      <c r="I94">
        <v>5.8</v>
      </c>
      <c r="J94">
        <v>56</v>
      </c>
      <c r="K94">
        <v>1.9</v>
      </c>
      <c r="L94">
        <v>5.3999999999999897</v>
      </c>
      <c r="M94">
        <v>5.6</v>
      </c>
    </row>
    <row r="95" spans="1:13" x14ac:dyDescent="0.2">
      <c r="A95" t="s">
        <v>107</v>
      </c>
      <c r="B95">
        <v>21</v>
      </c>
      <c r="C95" t="s">
        <v>13</v>
      </c>
      <c r="D95">
        <v>5</v>
      </c>
      <c r="E95">
        <v>2</v>
      </c>
      <c r="G95">
        <v>5</v>
      </c>
      <c r="H95">
        <v>1</v>
      </c>
      <c r="I95">
        <v>7.4</v>
      </c>
      <c r="J95">
        <v>82</v>
      </c>
      <c r="K95">
        <v>2.7</v>
      </c>
      <c r="L95">
        <v>8.0299999999999994</v>
      </c>
      <c r="M95">
        <v>8.23</v>
      </c>
    </row>
    <row r="96" spans="1:13" x14ac:dyDescent="0.2">
      <c r="A96" t="s">
        <v>108</v>
      </c>
      <c r="B96">
        <v>24</v>
      </c>
      <c r="C96" t="s">
        <v>13</v>
      </c>
      <c r="D96">
        <v>7.5</v>
      </c>
      <c r="E96">
        <v>3</v>
      </c>
      <c r="G96">
        <v>2.5</v>
      </c>
      <c r="H96">
        <v>1.5</v>
      </c>
      <c r="I96">
        <v>6.1</v>
      </c>
      <c r="J96">
        <v>78</v>
      </c>
      <c r="K96">
        <v>2.6</v>
      </c>
      <c r="L96">
        <v>7.68</v>
      </c>
      <c r="M96">
        <v>7.88</v>
      </c>
    </row>
    <row r="97" spans="1:13" x14ac:dyDescent="0.2">
      <c r="A97" t="s">
        <v>109</v>
      </c>
      <c r="B97">
        <v>24</v>
      </c>
      <c r="C97" t="s">
        <v>13</v>
      </c>
      <c r="D97">
        <v>6.7</v>
      </c>
      <c r="E97">
        <v>2.7</v>
      </c>
      <c r="G97">
        <v>3.3</v>
      </c>
      <c r="H97">
        <v>1.3</v>
      </c>
      <c r="I97">
        <v>6.4</v>
      </c>
      <c r="J97">
        <v>75</v>
      </c>
      <c r="K97">
        <v>2.5</v>
      </c>
      <c r="L97">
        <v>7.34</v>
      </c>
      <c r="M97">
        <v>7.54</v>
      </c>
    </row>
    <row r="98" spans="1:13" x14ac:dyDescent="0.2">
      <c r="A98" t="s">
        <v>110</v>
      </c>
      <c r="B98">
        <v>22</v>
      </c>
      <c r="C98" t="s">
        <v>17</v>
      </c>
      <c r="D98">
        <v>5.4</v>
      </c>
      <c r="E98">
        <v>2.2000000000000002</v>
      </c>
      <c r="G98">
        <v>4.5999999999999996</v>
      </c>
      <c r="H98">
        <v>1.1000000000000001</v>
      </c>
      <c r="I98">
        <v>7.5</v>
      </c>
      <c r="J98">
        <v>83</v>
      </c>
      <c r="K98">
        <v>2.8</v>
      </c>
      <c r="L98">
        <v>8.1300000000000008</v>
      </c>
      <c r="M98">
        <v>8.33</v>
      </c>
    </row>
    <row r="99" spans="1:13" x14ac:dyDescent="0.2">
      <c r="A99" t="s">
        <v>111</v>
      </c>
      <c r="B99">
        <v>22</v>
      </c>
      <c r="C99" t="s">
        <v>13</v>
      </c>
      <c r="D99">
        <v>7.2</v>
      </c>
      <c r="E99">
        <v>2.9</v>
      </c>
      <c r="G99">
        <v>2.8</v>
      </c>
      <c r="H99">
        <v>1.4</v>
      </c>
      <c r="I99">
        <v>7.2</v>
      </c>
      <c r="J99">
        <v>71</v>
      </c>
      <c r="K99">
        <v>2.4</v>
      </c>
      <c r="L99">
        <v>6.97</v>
      </c>
      <c r="M99">
        <v>7.17</v>
      </c>
    </row>
    <row r="100" spans="1:13" x14ac:dyDescent="0.2">
      <c r="A100" t="s">
        <v>112</v>
      </c>
      <c r="B100">
        <v>24</v>
      </c>
      <c r="C100" t="s">
        <v>13</v>
      </c>
      <c r="D100">
        <v>6.5</v>
      </c>
      <c r="E100">
        <v>2.6</v>
      </c>
      <c r="G100">
        <v>3.5</v>
      </c>
      <c r="H100">
        <v>1.3</v>
      </c>
      <c r="I100">
        <v>7.4</v>
      </c>
      <c r="J100">
        <v>75</v>
      </c>
      <c r="K100">
        <v>2.5</v>
      </c>
      <c r="L100">
        <v>7.3</v>
      </c>
      <c r="M100">
        <v>7.5</v>
      </c>
    </row>
    <row r="101" spans="1:13" x14ac:dyDescent="0.2">
      <c r="A101" t="s">
        <v>113</v>
      </c>
      <c r="B101">
        <v>22</v>
      </c>
      <c r="C101" t="s">
        <v>17</v>
      </c>
      <c r="D101">
        <v>9.1999999999999993</v>
      </c>
      <c r="E101">
        <v>3.7</v>
      </c>
      <c r="G101">
        <v>0.8</v>
      </c>
      <c r="H101">
        <v>1.8</v>
      </c>
      <c r="I101">
        <v>5</v>
      </c>
      <c r="J101">
        <v>55</v>
      </c>
      <c r="K101">
        <v>1.9</v>
      </c>
      <c r="L101">
        <v>5.3599999999999897</v>
      </c>
      <c r="M101">
        <v>5.56</v>
      </c>
    </row>
    <row r="102" spans="1:13" x14ac:dyDescent="0.2">
      <c r="A102" t="s">
        <v>114</v>
      </c>
      <c r="B102">
        <v>25</v>
      </c>
      <c r="C102" t="s">
        <v>13</v>
      </c>
      <c r="D102">
        <v>6.9</v>
      </c>
      <c r="E102">
        <v>2.8</v>
      </c>
      <c r="G102">
        <v>3.1</v>
      </c>
      <c r="H102">
        <v>1.4</v>
      </c>
      <c r="I102">
        <v>6.6</v>
      </c>
      <c r="J102">
        <v>79</v>
      </c>
      <c r="K102">
        <v>2.7</v>
      </c>
      <c r="L102">
        <v>7.78</v>
      </c>
      <c r="M102">
        <v>7.98</v>
      </c>
    </row>
    <row r="103" spans="1:13" x14ac:dyDescent="0.2">
      <c r="A103" t="s">
        <v>115</v>
      </c>
      <c r="B103">
        <v>19</v>
      </c>
      <c r="C103" t="s">
        <v>17</v>
      </c>
      <c r="D103">
        <v>9</v>
      </c>
      <c r="E103">
        <v>3.6</v>
      </c>
      <c r="G103">
        <v>1</v>
      </c>
      <c r="H103">
        <v>1.8</v>
      </c>
      <c r="I103">
        <v>5.0999999999999996</v>
      </c>
      <c r="J103">
        <v>62</v>
      </c>
      <c r="K103">
        <v>2.1</v>
      </c>
      <c r="L103">
        <v>6.04</v>
      </c>
      <c r="M103">
        <v>6.24</v>
      </c>
    </row>
    <row r="104" spans="1:13" x14ac:dyDescent="0.2">
      <c r="A104" t="s">
        <v>116</v>
      </c>
      <c r="B104">
        <v>21</v>
      </c>
      <c r="C104" t="s">
        <v>17</v>
      </c>
      <c r="D104">
        <v>5.6</v>
      </c>
      <c r="E104">
        <v>2.2000000000000002</v>
      </c>
      <c r="G104">
        <v>4.4000000000000004</v>
      </c>
      <c r="H104">
        <v>1.1000000000000001</v>
      </c>
      <c r="I104">
        <v>8.3000000000000007</v>
      </c>
      <c r="J104">
        <v>79</v>
      </c>
      <c r="K104">
        <v>2.6</v>
      </c>
      <c r="L104">
        <v>7.71</v>
      </c>
      <c r="M104">
        <v>7.91</v>
      </c>
    </row>
    <row r="105" spans="1:13" x14ac:dyDescent="0.2">
      <c r="A105" t="s">
        <v>117</v>
      </c>
      <c r="B105">
        <v>21</v>
      </c>
      <c r="C105" t="s">
        <v>13</v>
      </c>
      <c r="D105">
        <v>8.5</v>
      </c>
      <c r="E105">
        <v>3.4</v>
      </c>
      <c r="G105">
        <v>1.5</v>
      </c>
      <c r="H105">
        <v>1.7</v>
      </c>
      <c r="I105">
        <v>5.9</v>
      </c>
      <c r="J105">
        <v>66</v>
      </c>
      <c r="K105">
        <v>2.2000000000000002</v>
      </c>
      <c r="L105">
        <v>6.49</v>
      </c>
      <c r="M105">
        <v>6.69</v>
      </c>
    </row>
    <row r="106" spans="1:13" x14ac:dyDescent="0.2">
      <c r="A106" t="s">
        <v>118</v>
      </c>
      <c r="B106">
        <v>19</v>
      </c>
      <c r="C106" t="s">
        <v>17</v>
      </c>
      <c r="D106">
        <v>9.1</v>
      </c>
      <c r="E106">
        <v>3.6</v>
      </c>
      <c r="G106">
        <v>0.9</v>
      </c>
      <c r="H106">
        <v>1.8</v>
      </c>
      <c r="I106">
        <v>5.7</v>
      </c>
      <c r="J106">
        <v>58</v>
      </c>
      <c r="K106">
        <v>1.9</v>
      </c>
      <c r="L106">
        <v>5.62</v>
      </c>
      <c r="M106">
        <v>5.82</v>
      </c>
    </row>
    <row r="107" spans="1:13" x14ac:dyDescent="0.2">
      <c r="A107" t="s">
        <v>119</v>
      </c>
      <c r="B107">
        <v>24</v>
      </c>
      <c r="C107" t="s">
        <v>17</v>
      </c>
      <c r="D107">
        <v>7.6</v>
      </c>
      <c r="E107">
        <v>3</v>
      </c>
      <c r="G107">
        <v>2.4</v>
      </c>
      <c r="H107">
        <v>1.5</v>
      </c>
      <c r="I107">
        <v>7</v>
      </c>
      <c r="J107">
        <v>70</v>
      </c>
      <c r="K107">
        <v>2.4</v>
      </c>
      <c r="L107">
        <v>6.87</v>
      </c>
      <c r="M107">
        <v>7.07</v>
      </c>
    </row>
    <row r="108" spans="1:13" x14ac:dyDescent="0.2">
      <c r="A108" t="s">
        <v>120</v>
      </c>
      <c r="B108">
        <v>17</v>
      </c>
      <c r="C108" t="s">
        <v>13</v>
      </c>
      <c r="D108">
        <v>8</v>
      </c>
      <c r="E108">
        <v>3.2</v>
      </c>
      <c r="G108">
        <v>2</v>
      </c>
      <c r="H108">
        <v>1.6</v>
      </c>
      <c r="I108">
        <v>6.2</v>
      </c>
      <c r="J108">
        <v>61</v>
      </c>
      <c r="K108">
        <v>2.1</v>
      </c>
      <c r="L108">
        <v>5.9799999999999898</v>
      </c>
      <c r="M108">
        <v>6.18</v>
      </c>
    </row>
    <row r="109" spans="1:13" x14ac:dyDescent="0.2">
      <c r="A109" t="s">
        <v>121</v>
      </c>
      <c r="B109">
        <v>23</v>
      </c>
      <c r="C109" t="s">
        <v>17</v>
      </c>
      <c r="D109">
        <v>9.8000000000000007</v>
      </c>
      <c r="E109">
        <v>3.9</v>
      </c>
      <c r="G109">
        <v>0.2</v>
      </c>
      <c r="H109">
        <v>2</v>
      </c>
      <c r="I109">
        <v>6.2</v>
      </c>
      <c r="J109">
        <v>56</v>
      </c>
      <c r="K109">
        <v>1.9</v>
      </c>
      <c r="L109">
        <v>5.41</v>
      </c>
      <c r="M109">
        <v>5.61</v>
      </c>
    </row>
    <row r="110" spans="1:13" x14ac:dyDescent="0.2">
      <c r="A110" t="s">
        <v>122</v>
      </c>
      <c r="B110">
        <v>22</v>
      </c>
      <c r="C110" t="s">
        <v>13</v>
      </c>
      <c r="D110">
        <v>8.6999999999999993</v>
      </c>
      <c r="E110">
        <v>3.5</v>
      </c>
      <c r="G110">
        <v>1.3</v>
      </c>
      <c r="H110">
        <v>1.7</v>
      </c>
      <c r="I110">
        <v>6.2</v>
      </c>
      <c r="J110">
        <v>63</v>
      </c>
      <c r="K110">
        <v>2.1</v>
      </c>
      <c r="L110">
        <v>6.13</v>
      </c>
      <c r="M110">
        <v>6.33</v>
      </c>
    </row>
    <row r="111" spans="1:13" x14ac:dyDescent="0.2">
      <c r="A111" t="s">
        <v>123</v>
      </c>
      <c r="B111">
        <v>18</v>
      </c>
      <c r="C111" t="s">
        <v>13</v>
      </c>
      <c r="D111">
        <v>4.0999999999999996</v>
      </c>
      <c r="E111">
        <v>1.6</v>
      </c>
      <c r="G111">
        <v>5.9</v>
      </c>
      <c r="H111">
        <v>0.8</v>
      </c>
      <c r="I111">
        <v>7.9</v>
      </c>
      <c r="J111">
        <v>85</v>
      </c>
      <c r="K111">
        <v>2.8</v>
      </c>
      <c r="L111">
        <v>8.3000000000000007</v>
      </c>
      <c r="M111">
        <v>8.5</v>
      </c>
    </row>
    <row r="112" spans="1:13" x14ac:dyDescent="0.2">
      <c r="A112" t="s">
        <v>124</v>
      </c>
      <c r="B112">
        <v>19</v>
      </c>
      <c r="C112" t="s">
        <v>17</v>
      </c>
      <c r="D112">
        <v>7.3</v>
      </c>
      <c r="E112">
        <v>2.9</v>
      </c>
      <c r="G112">
        <v>2.7</v>
      </c>
      <c r="H112">
        <v>1.5</v>
      </c>
      <c r="I112">
        <v>7.4</v>
      </c>
      <c r="J112">
        <v>73</v>
      </c>
      <c r="K112">
        <v>2.4</v>
      </c>
      <c r="L112">
        <v>7.14</v>
      </c>
      <c r="M112">
        <v>7.34</v>
      </c>
    </row>
    <row r="113" spans="1:13" x14ac:dyDescent="0.2">
      <c r="A113" t="s">
        <v>125</v>
      </c>
      <c r="B113">
        <v>17</v>
      </c>
      <c r="C113" t="s">
        <v>13</v>
      </c>
      <c r="D113">
        <v>9.6999999999999993</v>
      </c>
      <c r="E113">
        <v>3.9</v>
      </c>
      <c r="G113">
        <v>0.3</v>
      </c>
      <c r="H113">
        <v>1.9</v>
      </c>
      <c r="I113">
        <v>6.4</v>
      </c>
      <c r="J113">
        <v>56</v>
      </c>
      <c r="K113">
        <v>1.9</v>
      </c>
      <c r="L113">
        <v>5.49</v>
      </c>
      <c r="M113">
        <v>5.69</v>
      </c>
    </row>
    <row r="114" spans="1:13" x14ac:dyDescent="0.2">
      <c r="A114" t="s">
        <v>126</v>
      </c>
      <c r="B114">
        <v>19</v>
      </c>
      <c r="C114" t="s">
        <v>17</v>
      </c>
      <c r="D114">
        <v>4.4000000000000004</v>
      </c>
      <c r="E114">
        <v>1.8</v>
      </c>
      <c r="G114">
        <v>5.6</v>
      </c>
      <c r="H114">
        <v>0.9</v>
      </c>
      <c r="I114">
        <v>7.9</v>
      </c>
      <c r="J114">
        <v>78</v>
      </c>
      <c r="K114">
        <v>2.6</v>
      </c>
      <c r="L114">
        <v>7.6899999999999897</v>
      </c>
      <c r="M114">
        <v>7.89</v>
      </c>
    </row>
    <row r="115" spans="1:13" x14ac:dyDescent="0.2">
      <c r="A115" t="s">
        <v>127</v>
      </c>
      <c r="B115">
        <v>24</v>
      </c>
      <c r="C115" t="s">
        <v>13</v>
      </c>
      <c r="D115">
        <v>4.8</v>
      </c>
      <c r="E115">
        <v>1.9</v>
      </c>
      <c r="G115">
        <v>5.2</v>
      </c>
      <c r="H115">
        <v>1</v>
      </c>
      <c r="I115">
        <v>7.2</v>
      </c>
      <c r="J115">
        <v>80</v>
      </c>
      <c r="K115">
        <v>2.7</v>
      </c>
      <c r="L115">
        <v>7.86</v>
      </c>
      <c r="M115">
        <v>8.06</v>
      </c>
    </row>
    <row r="116" spans="1:13" x14ac:dyDescent="0.2">
      <c r="A116" t="s">
        <v>128</v>
      </c>
      <c r="B116">
        <v>18</v>
      </c>
      <c r="C116" t="s">
        <v>17</v>
      </c>
      <c r="D116">
        <v>5.0999999999999996</v>
      </c>
      <c r="E116">
        <v>2</v>
      </c>
      <c r="G116">
        <v>4.9000000000000004</v>
      </c>
      <c r="H116">
        <v>1</v>
      </c>
      <c r="I116">
        <v>8.3000000000000007</v>
      </c>
      <c r="J116">
        <v>84</v>
      </c>
      <c r="K116">
        <v>2.8</v>
      </c>
      <c r="L116">
        <v>8.2899999999999991</v>
      </c>
      <c r="M116">
        <v>8.49</v>
      </c>
    </row>
    <row r="117" spans="1:13" x14ac:dyDescent="0.2">
      <c r="A117" t="s">
        <v>129</v>
      </c>
      <c r="B117">
        <v>22</v>
      </c>
      <c r="C117" t="s">
        <v>17</v>
      </c>
      <c r="D117">
        <v>5.2</v>
      </c>
      <c r="E117">
        <v>2.1</v>
      </c>
      <c r="G117">
        <v>4.8</v>
      </c>
      <c r="H117">
        <v>1</v>
      </c>
      <c r="I117">
        <v>7.3</v>
      </c>
      <c r="J117">
        <v>78</v>
      </c>
      <c r="K117">
        <v>2.6</v>
      </c>
      <c r="L117">
        <v>7.68</v>
      </c>
      <c r="M117">
        <v>7.88</v>
      </c>
    </row>
    <row r="118" spans="1:13" x14ac:dyDescent="0.2">
      <c r="A118" t="s">
        <v>130</v>
      </c>
      <c r="B118">
        <v>17</v>
      </c>
      <c r="C118" t="s">
        <v>13</v>
      </c>
      <c r="D118">
        <v>7.3</v>
      </c>
      <c r="E118">
        <v>2.9</v>
      </c>
      <c r="G118">
        <v>2.7</v>
      </c>
      <c r="H118">
        <v>1.5</v>
      </c>
      <c r="I118">
        <v>6.5</v>
      </c>
      <c r="J118">
        <v>74</v>
      </c>
      <c r="K118">
        <v>2.5</v>
      </c>
      <c r="L118">
        <v>7.24</v>
      </c>
      <c r="M118">
        <v>7.44</v>
      </c>
    </row>
    <row r="119" spans="1:13" x14ac:dyDescent="0.2">
      <c r="A119" t="s">
        <v>131</v>
      </c>
      <c r="B119">
        <v>22</v>
      </c>
      <c r="C119" t="s">
        <v>17</v>
      </c>
      <c r="D119">
        <v>6</v>
      </c>
      <c r="E119">
        <v>2.4</v>
      </c>
      <c r="G119">
        <v>4</v>
      </c>
      <c r="H119">
        <v>1.2</v>
      </c>
      <c r="I119">
        <v>6.1</v>
      </c>
      <c r="J119">
        <v>71</v>
      </c>
      <c r="K119">
        <v>2.4</v>
      </c>
      <c r="L119">
        <v>6.99</v>
      </c>
      <c r="M119">
        <v>7.19</v>
      </c>
    </row>
    <row r="120" spans="1:13" x14ac:dyDescent="0.2">
      <c r="A120" t="s">
        <v>132</v>
      </c>
      <c r="B120">
        <v>20</v>
      </c>
      <c r="C120" t="s">
        <v>17</v>
      </c>
      <c r="D120">
        <v>7.1</v>
      </c>
      <c r="E120">
        <v>2.8</v>
      </c>
      <c r="G120">
        <v>2.9</v>
      </c>
      <c r="H120">
        <v>1.4</v>
      </c>
      <c r="I120">
        <v>6.6</v>
      </c>
      <c r="J120">
        <v>69</v>
      </c>
      <c r="K120">
        <v>2.2999999999999998</v>
      </c>
      <c r="L120">
        <v>6.79</v>
      </c>
      <c r="M120">
        <v>6.99</v>
      </c>
    </row>
    <row r="121" spans="1:13" x14ac:dyDescent="0.2">
      <c r="A121" t="s">
        <v>133</v>
      </c>
      <c r="B121">
        <v>22</v>
      </c>
      <c r="C121" t="s">
        <v>13</v>
      </c>
      <c r="D121">
        <v>4.5</v>
      </c>
      <c r="E121">
        <v>1.8</v>
      </c>
      <c r="G121">
        <v>5.5</v>
      </c>
      <c r="H121">
        <v>0.9</v>
      </c>
      <c r="I121">
        <v>8.5</v>
      </c>
      <c r="J121">
        <v>89</v>
      </c>
      <c r="K121">
        <v>3</v>
      </c>
      <c r="L121">
        <v>8.7899999999999991</v>
      </c>
      <c r="M121">
        <v>8.99</v>
      </c>
    </row>
    <row r="122" spans="1:13" x14ac:dyDescent="0.2">
      <c r="A122" t="s">
        <v>134</v>
      </c>
      <c r="B122">
        <v>24</v>
      </c>
      <c r="C122" t="s">
        <v>17</v>
      </c>
      <c r="D122">
        <v>7.7</v>
      </c>
      <c r="E122">
        <v>3.1</v>
      </c>
      <c r="G122">
        <v>2.2999999999999998</v>
      </c>
      <c r="H122">
        <v>1.5</v>
      </c>
      <c r="I122">
        <v>6.7</v>
      </c>
      <c r="J122">
        <v>72</v>
      </c>
      <c r="K122">
        <v>2.4</v>
      </c>
      <c r="L122">
        <v>7.04</v>
      </c>
      <c r="M122">
        <v>7.24</v>
      </c>
    </row>
    <row r="123" spans="1:13" x14ac:dyDescent="0.2">
      <c r="A123" t="s">
        <v>135</v>
      </c>
      <c r="B123">
        <v>22</v>
      </c>
      <c r="C123" t="s">
        <v>17</v>
      </c>
      <c r="D123">
        <v>8.3000000000000007</v>
      </c>
      <c r="E123">
        <v>3.3</v>
      </c>
      <c r="G123">
        <v>1.7</v>
      </c>
      <c r="H123">
        <v>1.7</v>
      </c>
      <c r="I123">
        <v>5.8</v>
      </c>
      <c r="J123">
        <v>66</v>
      </c>
      <c r="K123">
        <v>2.2000000000000002</v>
      </c>
      <c r="L123">
        <v>6.46</v>
      </c>
      <c r="M123">
        <v>6.66</v>
      </c>
    </row>
    <row r="124" spans="1:13" x14ac:dyDescent="0.2">
      <c r="A124" t="s">
        <v>136</v>
      </c>
      <c r="B124">
        <v>23</v>
      </c>
      <c r="C124" t="s">
        <v>17</v>
      </c>
      <c r="D124">
        <v>6.4</v>
      </c>
      <c r="E124">
        <v>2.6</v>
      </c>
      <c r="G124">
        <v>3.6</v>
      </c>
      <c r="H124">
        <v>1.3</v>
      </c>
      <c r="I124">
        <v>7.1</v>
      </c>
      <c r="J124">
        <v>69</v>
      </c>
      <c r="K124">
        <v>2.2999999999999998</v>
      </c>
      <c r="L124">
        <v>6.7299999999999898</v>
      </c>
      <c r="M124">
        <v>6.93</v>
      </c>
    </row>
    <row r="125" spans="1:13" x14ac:dyDescent="0.2">
      <c r="A125" t="s">
        <v>137</v>
      </c>
      <c r="B125">
        <v>17</v>
      </c>
      <c r="C125" t="s">
        <v>17</v>
      </c>
      <c r="D125">
        <v>9</v>
      </c>
      <c r="E125">
        <v>3.6</v>
      </c>
      <c r="G125">
        <v>1</v>
      </c>
      <c r="H125">
        <v>1.8</v>
      </c>
      <c r="I125">
        <v>5.8</v>
      </c>
      <c r="J125">
        <v>56</v>
      </c>
      <c r="K125">
        <v>1.9</v>
      </c>
      <c r="L125">
        <v>5.42</v>
      </c>
      <c r="M125">
        <v>5.62</v>
      </c>
    </row>
    <row r="126" spans="1:13" x14ac:dyDescent="0.2">
      <c r="A126" t="s">
        <v>138</v>
      </c>
      <c r="B126">
        <v>20</v>
      </c>
      <c r="C126" t="s">
        <v>17</v>
      </c>
      <c r="D126">
        <v>7.6</v>
      </c>
      <c r="E126">
        <v>3</v>
      </c>
      <c r="G126">
        <v>2.4</v>
      </c>
      <c r="H126">
        <v>1.5</v>
      </c>
      <c r="I126">
        <v>7.2</v>
      </c>
      <c r="J126">
        <v>76</v>
      </c>
      <c r="K126">
        <v>2.5</v>
      </c>
      <c r="L126">
        <v>7.41</v>
      </c>
      <c r="M126">
        <v>7.61</v>
      </c>
    </row>
    <row r="127" spans="1:13" x14ac:dyDescent="0.2">
      <c r="A127" t="s">
        <v>139</v>
      </c>
      <c r="B127">
        <v>25</v>
      </c>
      <c r="C127" t="s">
        <v>17</v>
      </c>
      <c r="D127">
        <v>8.4</v>
      </c>
      <c r="E127">
        <v>3.4</v>
      </c>
      <c r="G127">
        <v>1.6</v>
      </c>
      <c r="H127">
        <v>1.7</v>
      </c>
      <c r="I127">
        <v>5.9</v>
      </c>
      <c r="J127">
        <v>62</v>
      </c>
      <c r="K127">
        <v>2.1</v>
      </c>
      <c r="L127">
        <v>6.03</v>
      </c>
      <c r="M127">
        <v>6.23</v>
      </c>
    </row>
    <row r="128" spans="1:13" x14ac:dyDescent="0.2">
      <c r="A128" t="s">
        <v>140</v>
      </c>
      <c r="B128">
        <v>22</v>
      </c>
      <c r="C128" t="s">
        <v>17</v>
      </c>
      <c r="D128">
        <v>6.2</v>
      </c>
      <c r="E128">
        <v>2.5</v>
      </c>
      <c r="G128">
        <v>3.8</v>
      </c>
      <c r="H128">
        <v>1.2</v>
      </c>
      <c r="I128">
        <v>6.9</v>
      </c>
      <c r="J128">
        <v>75</v>
      </c>
      <c r="K128">
        <v>2.5</v>
      </c>
      <c r="L128">
        <v>7.38</v>
      </c>
      <c r="M128">
        <v>7.58</v>
      </c>
    </row>
    <row r="129" spans="1:13" x14ac:dyDescent="0.2">
      <c r="A129" t="s">
        <v>141</v>
      </c>
      <c r="B129">
        <v>23</v>
      </c>
      <c r="C129" t="s">
        <v>13</v>
      </c>
      <c r="D129">
        <v>9.6</v>
      </c>
      <c r="E129">
        <v>3.8</v>
      </c>
      <c r="G129">
        <v>0.4</v>
      </c>
      <c r="H129">
        <v>1.9</v>
      </c>
      <c r="I129">
        <v>5.3</v>
      </c>
      <c r="J129">
        <v>55</v>
      </c>
      <c r="K129">
        <v>1.8</v>
      </c>
      <c r="L129">
        <v>5.31</v>
      </c>
      <c r="M129">
        <v>5.51</v>
      </c>
    </row>
    <row r="130" spans="1:13" x14ac:dyDescent="0.2">
      <c r="A130" t="s">
        <v>142</v>
      </c>
      <c r="B130">
        <v>23</v>
      </c>
      <c r="C130" t="s">
        <v>17</v>
      </c>
      <c r="D130">
        <v>5</v>
      </c>
      <c r="E130">
        <v>2</v>
      </c>
      <c r="G130">
        <v>5</v>
      </c>
      <c r="H130">
        <v>1</v>
      </c>
      <c r="I130">
        <v>7.4</v>
      </c>
      <c r="J130">
        <v>81</v>
      </c>
      <c r="K130">
        <v>2.7</v>
      </c>
      <c r="L130">
        <v>7.97</v>
      </c>
      <c r="M130">
        <v>8.17</v>
      </c>
    </row>
    <row r="131" spans="1:13" x14ac:dyDescent="0.2">
      <c r="A131" t="s">
        <v>143</v>
      </c>
      <c r="B131">
        <v>24</v>
      </c>
      <c r="C131" t="s">
        <v>17</v>
      </c>
      <c r="D131">
        <v>4.5</v>
      </c>
      <c r="E131">
        <v>1.8</v>
      </c>
      <c r="G131">
        <v>5.5</v>
      </c>
      <c r="H131">
        <v>0.9</v>
      </c>
      <c r="I131">
        <v>7.6</v>
      </c>
      <c r="J131">
        <v>88</v>
      </c>
      <c r="K131">
        <v>2.9</v>
      </c>
      <c r="L131">
        <v>8.65</v>
      </c>
      <c r="M131">
        <v>8.85</v>
      </c>
    </row>
    <row r="132" spans="1:13" x14ac:dyDescent="0.2">
      <c r="A132" t="s">
        <v>144</v>
      </c>
      <c r="B132">
        <v>22</v>
      </c>
      <c r="C132" t="s">
        <v>17</v>
      </c>
      <c r="D132">
        <v>9.4</v>
      </c>
      <c r="E132">
        <v>3.8</v>
      </c>
      <c r="G132">
        <v>0.6</v>
      </c>
      <c r="H132">
        <v>1.9</v>
      </c>
      <c r="I132">
        <v>6.4</v>
      </c>
      <c r="J132">
        <v>62</v>
      </c>
      <c r="K132">
        <v>2.1</v>
      </c>
      <c r="L132">
        <v>6.05</v>
      </c>
      <c r="M132">
        <v>6.25</v>
      </c>
    </row>
    <row r="133" spans="1:13" x14ac:dyDescent="0.2">
      <c r="A133" t="s">
        <v>145</v>
      </c>
      <c r="B133">
        <v>24</v>
      </c>
      <c r="C133" t="s">
        <v>13</v>
      </c>
      <c r="D133">
        <v>6.9</v>
      </c>
      <c r="E133">
        <v>2.8</v>
      </c>
      <c r="G133">
        <v>3.1</v>
      </c>
      <c r="H133">
        <v>1.4</v>
      </c>
      <c r="I133">
        <v>7.2</v>
      </c>
      <c r="J133">
        <v>76</v>
      </c>
      <c r="K133">
        <v>2.6</v>
      </c>
      <c r="L133">
        <v>7.47</v>
      </c>
      <c r="M133">
        <v>7.67</v>
      </c>
    </row>
    <row r="134" spans="1:13" x14ac:dyDescent="0.2">
      <c r="A134" t="s">
        <v>146</v>
      </c>
      <c r="B134">
        <v>20</v>
      </c>
      <c r="C134" t="s">
        <v>17</v>
      </c>
      <c r="D134">
        <v>5.7</v>
      </c>
      <c r="E134">
        <v>2.2999999999999998</v>
      </c>
      <c r="G134">
        <v>4.3</v>
      </c>
      <c r="H134">
        <v>1.1000000000000001</v>
      </c>
      <c r="I134">
        <v>7.3</v>
      </c>
      <c r="J134">
        <v>93</v>
      </c>
      <c r="K134">
        <v>3.1</v>
      </c>
      <c r="L134">
        <v>9.14</v>
      </c>
      <c r="M134">
        <v>9.34</v>
      </c>
    </row>
    <row r="135" spans="1:13" x14ac:dyDescent="0.2">
      <c r="A135" t="s">
        <v>147</v>
      </c>
      <c r="B135">
        <v>22</v>
      </c>
      <c r="C135" t="s">
        <v>17</v>
      </c>
      <c r="D135">
        <v>5.2</v>
      </c>
      <c r="E135">
        <v>2.1</v>
      </c>
      <c r="G135">
        <v>4.8</v>
      </c>
      <c r="H135">
        <v>1</v>
      </c>
      <c r="I135">
        <v>7.8</v>
      </c>
      <c r="J135">
        <v>92</v>
      </c>
      <c r="K135">
        <v>3.1</v>
      </c>
      <c r="L135">
        <v>9.07</v>
      </c>
      <c r="M135">
        <v>9.27</v>
      </c>
    </row>
    <row r="136" spans="1:13" x14ac:dyDescent="0.2">
      <c r="A136" t="s">
        <v>148</v>
      </c>
      <c r="B136">
        <v>17</v>
      </c>
      <c r="C136" t="s">
        <v>13</v>
      </c>
      <c r="D136">
        <v>7</v>
      </c>
      <c r="E136">
        <v>2.8</v>
      </c>
      <c r="G136">
        <v>3</v>
      </c>
      <c r="H136">
        <v>1.4</v>
      </c>
      <c r="I136">
        <v>6.5</v>
      </c>
      <c r="J136">
        <v>79</v>
      </c>
      <c r="K136">
        <v>2.6</v>
      </c>
      <c r="L136">
        <v>7.72</v>
      </c>
      <c r="M136">
        <v>7.92</v>
      </c>
    </row>
    <row r="137" spans="1:13" x14ac:dyDescent="0.2">
      <c r="A137" t="s">
        <v>149</v>
      </c>
      <c r="B137">
        <v>24</v>
      </c>
      <c r="C137" t="s">
        <v>13</v>
      </c>
      <c r="D137">
        <v>6</v>
      </c>
      <c r="E137">
        <v>2.4</v>
      </c>
      <c r="G137">
        <v>4</v>
      </c>
      <c r="H137">
        <v>1.2</v>
      </c>
      <c r="I137">
        <v>6.1</v>
      </c>
      <c r="J137">
        <v>69</v>
      </c>
      <c r="K137">
        <v>2.2999999999999998</v>
      </c>
      <c r="L137">
        <v>6.76</v>
      </c>
      <c r="M137">
        <v>6.96</v>
      </c>
    </row>
    <row r="138" spans="1:13" x14ac:dyDescent="0.2">
      <c r="A138" t="s">
        <v>150</v>
      </c>
      <c r="B138">
        <v>24</v>
      </c>
      <c r="C138" t="s">
        <v>13</v>
      </c>
      <c r="D138">
        <v>4.5</v>
      </c>
      <c r="E138">
        <v>1.8</v>
      </c>
      <c r="G138">
        <v>5.5</v>
      </c>
      <c r="H138">
        <v>0.9</v>
      </c>
      <c r="I138">
        <v>7</v>
      </c>
      <c r="J138">
        <v>80</v>
      </c>
      <c r="K138">
        <v>2.7</v>
      </c>
      <c r="L138">
        <v>7.88</v>
      </c>
      <c r="M138">
        <v>8.08</v>
      </c>
    </row>
    <row r="139" spans="1:13" x14ac:dyDescent="0.2">
      <c r="A139" t="s">
        <v>151</v>
      </c>
      <c r="B139">
        <v>21</v>
      </c>
      <c r="C139" t="s">
        <v>13</v>
      </c>
      <c r="D139">
        <v>6.5</v>
      </c>
      <c r="E139">
        <v>2.6</v>
      </c>
      <c r="G139">
        <v>3.5</v>
      </c>
      <c r="H139">
        <v>1.3</v>
      </c>
      <c r="I139">
        <v>7.4</v>
      </c>
      <c r="J139">
        <v>72</v>
      </c>
      <c r="K139">
        <v>2.4</v>
      </c>
      <c r="L139">
        <v>7.02</v>
      </c>
      <c r="M139">
        <v>7.22</v>
      </c>
    </row>
    <row r="140" spans="1:13" x14ac:dyDescent="0.2">
      <c r="A140" t="s">
        <v>152</v>
      </c>
      <c r="B140">
        <v>24</v>
      </c>
      <c r="C140" t="s">
        <v>13</v>
      </c>
      <c r="D140">
        <v>9.9</v>
      </c>
      <c r="E140">
        <v>4</v>
      </c>
      <c r="G140">
        <v>0.1</v>
      </c>
      <c r="H140">
        <v>2</v>
      </c>
      <c r="I140">
        <v>5.6</v>
      </c>
      <c r="J140">
        <v>57</v>
      </c>
      <c r="K140">
        <v>1.9</v>
      </c>
      <c r="L140">
        <v>5.5699999999999896</v>
      </c>
      <c r="M140">
        <v>5.77</v>
      </c>
    </row>
    <row r="141" spans="1:13" x14ac:dyDescent="0.2">
      <c r="A141" t="s">
        <v>153</v>
      </c>
      <c r="B141">
        <v>21</v>
      </c>
      <c r="C141" t="s">
        <v>13</v>
      </c>
      <c r="D141">
        <v>7.4</v>
      </c>
      <c r="E141">
        <v>3</v>
      </c>
      <c r="G141">
        <v>2.6</v>
      </c>
      <c r="H141">
        <v>1.5</v>
      </c>
      <c r="I141">
        <v>6.2</v>
      </c>
      <c r="J141">
        <v>78</v>
      </c>
      <c r="K141">
        <v>2.6</v>
      </c>
      <c r="L141">
        <v>7.6099999999999897</v>
      </c>
      <c r="M141">
        <v>7.81</v>
      </c>
    </row>
    <row r="142" spans="1:13" x14ac:dyDescent="0.2">
      <c r="A142" t="s">
        <v>154</v>
      </c>
      <c r="B142">
        <v>20</v>
      </c>
      <c r="C142" t="s">
        <v>17</v>
      </c>
      <c r="D142">
        <v>8.8000000000000007</v>
      </c>
      <c r="E142">
        <v>3.5</v>
      </c>
      <c r="G142">
        <v>1.2</v>
      </c>
      <c r="H142">
        <v>1.8</v>
      </c>
      <c r="I142">
        <v>5.3</v>
      </c>
      <c r="J142">
        <v>65</v>
      </c>
      <c r="K142">
        <v>2.2000000000000002</v>
      </c>
      <c r="L142">
        <v>6.37</v>
      </c>
      <c r="M142">
        <v>6.57</v>
      </c>
    </row>
    <row r="143" spans="1:13" x14ac:dyDescent="0.2">
      <c r="A143" t="s">
        <v>155</v>
      </c>
      <c r="B143">
        <v>24</v>
      </c>
      <c r="C143" t="s">
        <v>13</v>
      </c>
      <c r="D143">
        <v>9.3000000000000007</v>
      </c>
      <c r="E143">
        <v>3.7</v>
      </c>
      <c r="G143">
        <v>0.7</v>
      </c>
      <c r="H143">
        <v>1.9</v>
      </c>
      <c r="I143">
        <v>6.2</v>
      </c>
      <c r="J143">
        <v>60</v>
      </c>
      <c r="K143">
        <v>2</v>
      </c>
      <c r="L143">
        <v>5.81</v>
      </c>
      <c r="M143">
        <v>6.01</v>
      </c>
    </row>
    <row r="144" spans="1:13" x14ac:dyDescent="0.2">
      <c r="A144" t="s">
        <v>156</v>
      </c>
      <c r="B144">
        <v>25</v>
      </c>
      <c r="C144" t="s">
        <v>17</v>
      </c>
      <c r="D144">
        <v>9.4</v>
      </c>
      <c r="E144">
        <v>3.8</v>
      </c>
      <c r="G144">
        <v>0.6</v>
      </c>
      <c r="H144">
        <v>1.9</v>
      </c>
      <c r="I144">
        <v>5.8</v>
      </c>
      <c r="J144">
        <v>63</v>
      </c>
      <c r="K144">
        <v>2.1</v>
      </c>
      <c r="L144">
        <v>6.1099999999999897</v>
      </c>
      <c r="M144">
        <v>6.31</v>
      </c>
    </row>
    <row r="145" spans="1:13" x14ac:dyDescent="0.2">
      <c r="A145" t="s">
        <v>157</v>
      </c>
      <c r="B145">
        <v>24</v>
      </c>
      <c r="C145" t="s">
        <v>17</v>
      </c>
      <c r="D145">
        <v>9.4</v>
      </c>
      <c r="E145">
        <v>3.8</v>
      </c>
      <c r="G145">
        <v>0.6</v>
      </c>
      <c r="H145">
        <v>1.9</v>
      </c>
      <c r="I145">
        <v>5.8</v>
      </c>
      <c r="J145">
        <v>60</v>
      </c>
      <c r="K145">
        <v>2</v>
      </c>
      <c r="L145">
        <v>5.8</v>
      </c>
      <c r="M145">
        <v>6</v>
      </c>
    </row>
    <row r="146" spans="1:13" x14ac:dyDescent="0.2">
      <c r="A146" t="s">
        <v>158</v>
      </c>
      <c r="B146">
        <v>24</v>
      </c>
      <c r="C146" t="s">
        <v>13</v>
      </c>
      <c r="D146">
        <v>7.3</v>
      </c>
      <c r="E146">
        <v>2.9</v>
      </c>
      <c r="G146">
        <v>2.7</v>
      </c>
      <c r="H146">
        <v>1.5</v>
      </c>
      <c r="I146">
        <v>6.5</v>
      </c>
      <c r="J146">
        <v>73</v>
      </c>
      <c r="K146">
        <v>2.4</v>
      </c>
      <c r="L146">
        <v>7.12</v>
      </c>
      <c r="M146">
        <v>7.32</v>
      </c>
    </row>
    <row r="147" spans="1:13" x14ac:dyDescent="0.2">
      <c r="A147" t="s">
        <v>159</v>
      </c>
      <c r="B147">
        <v>23</v>
      </c>
      <c r="C147" t="s">
        <v>17</v>
      </c>
      <c r="D147">
        <v>4.8</v>
      </c>
      <c r="E147">
        <v>1.9</v>
      </c>
      <c r="G147">
        <v>5.2</v>
      </c>
      <c r="H147">
        <v>1</v>
      </c>
      <c r="I147">
        <v>7.9</v>
      </c>
      <c r="J147">
        <v>93</v>
      </c>
      <c r="K147">
        <v>3.1</v>
      </c>
      <c r="L147">
        <v>9.19</v>
      </c>
      <c r="M147">
        <v>9.39</v>
      </c>
    </row>
    <row r="148" spans="1:13" x14ac:dyDescent="0.2">
      <c r="A148" t="s">
        <v>160</v>
      </c>
      <c r="B148">
        <v>23</v>
      </c>
      <c r="C148" t="s">
        <v>17</v>
      </c>
      <c r="D148">
        <v>8.6999999999999993</v>
      </c>
      <c r="E148">
        <v>3.5</v>
      </c>
      <c r="G148">
        <v>1.3</v>
      </c>
      <c r="H148">
        <v>1.7</v>
      </c>
      <c r="I148">
        <v>5.5</v>
      </c>
      <c r="J148">
        <v>57</v>
      </c>
      <c r="K148">
        <v>1.9</v>
      </c>
      <c r="L148">
        <v>5.5</v>
      </c>
      <c r="M148">
        <v>5.7</v>
      </c>
    </row>
    <row r="149" spans="1:13" x14ac:dyDescent="0.2">
      <c r="A149" t="s">
        <v>161</v>
      </c>
      <c r="B149">
        <v>17</v>
      </c>
      <c r="C149" t="s">
        <v>13</v>
      </c>
      <c r="D149">
        <v>4.2</v>
      </c>
      <c r="E149">
        <v>1.7</v>
      </c>
      <c r="G149">
        <v>5.8</v>
      </c>
      <c r="H149">
        <v>0.8</v>
      </c>
      <c r="I149">
        <v>8.1</v>
      </c>
      <c r="J149">
        <v>89</v>
      </c>
      <c r="K149">
        <v>3</v>
      </c>
      <c r="L149">
        <v>8.74</v>
      </c>
      <c r="M149">
        <v>8.94</v>
      </c>
    </row>
    <row r="150" spans="1:13" x14ac:dyDescent="0.2">
      <c r="A150" t="s">
        <v>162</v>
      </c>
      <c r="B150">
        <v>20</v>
      </c>
      <c r="C150" t="s">
        <v>13</v>
      </c>
      <c r="D150">
        <v>8.9</v>
      </c>
      <c r="E150">
        <v>3.6</v>
      </c>
      <c r="G150">
        <v>1.1000000000000001</v>
      </c>
      <c r="H150">
        <v>1.8</v>
      </c>
      <c r="I150">
        <v>6.3</v>
      </c>
      <c r="J150">
        <v>56</v>
      </c>
      <c r="K150">
        <v>1.9</v>
      </c>
      <c r="L150">
        <v>5.4399999999999897</v>
      </c>
      <c r="M150">
        <v>5.64</v>
      </c>
    </row>
    <row r="151" spans="1:13" x14ac:dyDescent="0.2">
      <c r="A151" t="s">
        <v>163</v>
      </c>
      <c r="B151">
        <v>18</v>
      </c>
      <c r="C151" t="s">
        <v>17</v>
      </c>
      <c r="D151">
        <v>7</v>
      </c>
      <c r="E151">
        <v>2.8</v>
      </c>
      <c r="G151">
        <v>3</v>
      </c>
      <c r="H151">
        <v>1.4</v>
      </c>
      <c r="I151">
        <v>6.7</v>
      </c>
      <c r="J151">
        <v>74</v>
      </c>
      <c r="K151">
        <v>2.5</v>
      </c>
      <c r="L151">
        <v>7.25</v>
      </c>
      <c r="M151">
        <v>7.45</v>
      </c>
    </row>
    <row r="152" spans="1:13" x14ac:dyDescent="0.2">
      <c r="A152" t="s">
        <v>164</v>
      </c>
      <c r="B152">
        <v>20</v>
      </c>
      <c r="C152" t="s">
        <v>17</v>
      </c>
      <c r="D152">
        <v>7.8</v>
      </c>
      <c r="E152">
        <v>3.1</v>
      </c>
      <c r="G152">
        <v>2.2000000000000002</v>
      </c>
      <c r="H152">
        <v>1.6</v>
      </c>
      <c r="I152">
        <v>6.8</v>
      </c>
      <c r="J152">
        <v>76</v>
      </c>
      <c r="K152">
        <v>2.5</v>
      </c>
      <c r="L152">
        <v>7.43</v>
      </c>
      <c r="M152">
        <v>7.63</v>
      </c>
    </row>
    <row r="153" spans="1:13" x14ac:dyDescent="0.2">
      <c r="A153" t="s">
        <v>165</v>
      </c>
      <c r="B153">
        <v>24</v>
      </c>
      <c r="C153" t="s">
        <v>13</v>
      </c>
      <c r="D153">
        <v>9.8000000000000007</v>
      </c>
      <c r="E153">
        <v>3.9</v>
      </c>
      <c r="G153">
        <v>0.2</v>
      </c>
      <c r="H153">
        <v>2</v>
      </c>
      <c r="I153">
        <v>5.3</v>
      </c>
      <c r="J153">
        <v>59</v>
      </c>
      <c r="K153">
        <v>2</v>
      </c>
      <c r="L153">
        <v>5.75</v>
      </c>
      <c r="M153">
        <v>5.95</v>
      </c>
    </row>
    <row r="154" spans="1:13" x14ac:dyDescent="0.2">
      <c r="A154" t="s">
        <v>166</v>
      </c>
      <c r="B154">
        <v>20</v>
      </c>
      <c r="C154" t="s">
        <v>17</v>
      </c>
      <c r="D154">
        <v>4.5999999999999996</v>
      </c>
      <c r="E154">
        <v>1.8</v>
      </c>
      <c r="G154">
        <v>5.4</v>
      </c>
      <c r="H154">
        <v>0.9</v>
      </c>
      <c r="I154">
        <v>8.1</v>
      </c>
      <c r="J154">
        <v>83</v>
      </c>
      <c r="K154">
        <v>2.8</v>
      </c>
      <c r="L154">
        <v>8.11</v>
      </c>
      <c r="M154">
        <v>8.31</v>
      </c>
    </row>
    <row r="155" spans="1:13" x14ac:dyDescent="0.2">
      <c r="A155" t="s">
        <v>167</v>
      </c>
      <c r="B155">
        <v>25</v>
      </c>
      <c r="C155" t="s">
        <v>13</v>
      </c>
      <c r="D155">
        <v>9.5</v>
      </c>
      <c r="E155">
        <v>3.8</v>
      </c>
      <c r="G155">
        <v>0.5</v>
      </c>
      <c r="H155">
        <v>1.9</v>
      </c>
      <c r="I155">
        <v>5.2</v>
      </c>
      <c r="J155">
        <v>64</v>
      </c>
      <c r="K155">
        <v>2.1</v>
      </c>
      <c r="L155">
        <v>6.22</v>
      </c>
      <c r="M155">
        <v>6.42</v>
      </c>
    </row>
    <row r="156" spans="1:13" x14ac:dyDescent="0.2">
      <c r="A156" t="s">
        <v>168</v>
      </c>
      <c r="B156">
        <v>17</v>
      </c>
      <c r="C156" t="s">
        <v>13</v>
      </c>
      <c r="D156">
        <v>4.5</v>
      </c>
      <c r="E156">
        <v>1.8</v>
      </c>
      <c r="G156">
        <v>5.5</v>
      </c>
      <c r="H156">
        <v>0.9</v>
      </c>
      <c r="I156">
        <v>8.3000000000000007</v>
      </c>
      <c r="J156">
        <v>80</v>
      </c>
      <c r="K156">
        <v>2.7</v>
      </c>
      <c r="L156">
        <v>7.81</v>
      </c>
      <c r="M156">
        <v>8.01</v>
      </c>
    </row>
    <row r="157" spans="1:13" x14ac:dyDescent="0.2">
      <c r="A157" t="s">
        <v>169</v>
      </c>
      <c r="B157">
        <v>25</v>
      </c>
      <c r="C157" t="s">
        <v>17</v>
      </c>
      <c r="D157">
        <v>5.4</v>
      </c>
      <c r="E157">
        <v>2.2000000000000002</v>
      </c>
      <c r="G157">
        <v>4.5999999999999996</v>
      </c>
      <c r="H157">
        <v>1.1000000000000001</v>
      </c>
      <c r="I157">
        <v>7.3</v>
      </c>
      <c r="J157">
        <v>81</v>
      </c>
      <c r="K157">
        <v>2.7</v>
      </c>
      <c r="L157">
        <v>7.93</v>
      </c>
      <c r="M157">
        <v>8.1300000000000008</v>
      </c>
    </row>
    <row r="158" spans="1:13" x14ac:dyDescent="0.2">
      <c r="A158" t="s">
        <v>170</v>
      </c>
      <c r="B158">
        <v>25</v>
      </c>
      <c r="C158" t="s">
        <v>17</v>
      </c>
      <c r="D158">
        <v>9.1999999999999993</v>
      </c>
      <c r="E158">
        <v>3.7</v>
      </c>
      <c r="G158">
        <v>0.8</v>
      </c>
      <c r="H158">
        <v>1.8</v>
      </c>
      <c r="I158">
        <v>5.9</v>
      </c>
      <c r="J158">
        <v>61</v>
      </c>
      <c r="K158">
        <v>2.1</v>
      </c>
      <c r="L158">
        <v>5.97</v>
      </c>
      <c r="M158">
        <v>6.17</v>
      </c>
    </row>
    <row r="159" spans="1:13" x14ac:dyDescent="0.2">
      <c r="A159" t="s">
        <v>171</v>
      </c>
      <c r="B159">
        <v>19</v>
      </c>
      <c r="C159" t="s">
        <v>17</v>
      </c>
      <c r="D159">
        <v>6</v>
      </c>
      <c r="E159">
        <v>2.4</v>
      </c>
      <c r="G159">
        <v>4</v>
      </c>
      <c r="H159">
        <v>1.2</v>
      </c>
      <c r="I159">
        <v>6</v>
      </c>
      <c r="J159">
        <v>77</v>
      </c>
      <c r="K159">
        <v>2.6</v>
      </c>
      <c r="L159">
        <v>7.56</v>
      </c>
      <c r="M159">
        <v>7.76</v>
      </c>
    </row>
    <row r="160" spans="1:13" x14ac:dyDescent="0.2">
      <c r="A160" t="s">
        <v>172</v>
      </c>
      <c r="B160">
        <v>18</v>
      </c>
      <c r="C160" t="s">
        <v>17</v>
      </c>
      <c r="D160">
        <v>6.5</v>
      </c>
      <c r="E160">
        <v>2.6</v>
      </c>
      <c r="G160">
        <v>3.5</v>
      </c>
      <c r="H160">
        <v>1.3</v>
      </c>
      <c r="I160">
        <v>7.4</v>
      </c>
      <c r="J160">
        <v>78</v>
      </c>
      <c r="K160">
        <v>2.6</v>
      </c>
      <c r="L160">
        <v>7.64</v>
      </c>
      <c r="M160">
        <v>7.84</v>
      </c>
    </row>
    <row r="161" spans="1:13" x14ac:dyDescent="0.2">
      <c r="A161" t="s">
        <v>173</v>
      </c>
      <c r="B161">
        <v>22</v>
      </c>
      <c r="C161" t="s">
        <v>13</v>
      </c>
      <c r="D161">
        <v>8.4</v>
      </c>
      <c r="E161">
        <v>3.4</v>
      </c>
      <c r="G161">
        <v>1.6</v>
      </c>
      <c r="H161">
        <v>1.7</v>
      </c>
      <c r="I161">
        <v>5.3</v>
      </c>
      <c r="J161">
        <v>60</v>
      </c>
      <c r="K161">
        <v>2</v>
      </c>
      <c r="L161">
        <v>5.89</v>
      </c>
      <c r="M161">
        <v>6.09</v>
      </c>
    </row>
    <row r="162" spans="1:13" x14ac:dyDescent="0.2">
      <c r="A162" t="s">
        <v>174</v>
      </c>
      <c r="B162">
        <v>17</v>
      </c>
      <c r="C162" t="s">
        <v>17</v>
      </c>
      <c r="D162">
        <v>7.5</v>
      </c>
      <c r="E162">
        <v>3</v>
      </c>
      <c r="G162">
        <v>2.5</v>
      </c>
      <c r="H162">
        <v>1.5</v>
      </c>
      <c r="I162">
        <v>6.1</v>
      </c>
      <c r="J162">
        <v>70</v>
      </c>
      <c r="K162">
        <v>2.2999999999999998</v>
      </c>
      <c r="L162">
        <v>6.8</v>
      </c>
      <c r="M162">
        <v>7</v>
      </c>
    </row>
    <row r="163" spans="1:13" x14ac:dyDescent="0.2">
      <c r="A163" t="s">
        <v>175</v>
      </c>
      <c r="B163">
        <v>17</v>
      </c>
      <c r="C163" t="s">
        <v>17</v>
      </c>
      <c r="D163">
        <v>7.5</v>
      </c>
      <c r="E163">
        <v>3</v>
      </c>
      <c r="G163">
        <v>2.5</v>
      </c>
      <c r="H163">
        <v>1.5</v>
      </c>
      <c r="I163">
        <v>6</v>
      </c>
      <c r="J163">
        <v>75</v>
      </c>
      <c r="K163">
        <v>2.5</v>
      </c>
      <c r="L163">
        <v>7.3599999999999897</v>
      </c>
      <c r="M163">
        <v>7.56</v>
      </c>
    </row>
    <row r="164" spans="1:13" x14ac:dyDescent="0.2">
      <c r="A164" t="s">
        <v>176</v>
      </c>
      <c r="B164">
        <v>24</v>
      </c>
      <c r="C164" t="s">
        <v>17</v>
      </c>
      <c r="D164">
        <v>9.9</v>
      </c>
      <c r="E164">
        <v>4</v>
      </c>
      <c r="G164">
        <v>0.1</v>
      </c>
      <c r="H164">
        <v>2</v>
      </c>
      <c r="I164">
        <v>5.8</v>
      </c>
      <c r="J164">
        <v>61</v>
      </c>
      <c r="K164">
        <v>2</v>
      </c>
      <c r="L164">
        <v>5.8999999999999897</v>
      </c>
      <c r="M164">
        <v>6.1</v>
      </c>
    </row>
    <row r="165" spans="1:13" x14ac:dyDescent="0.2">
      <c r="A165" t="s">
        <v>177</v>
      </c>
      <c r="B165">
        <v>24</v>
      </c>
      <c r="C165" t="s">
        <v>17</v>
      </c>
      <c r="D165">
        <v>5.8</v>
      </c>
      <c r="E165">
        <v>2.2999999999999998</v>
      </c>
      <c r="G165">
        <v>4.2</v>
      </c>
      <c r="H165">
        <v>1.2</v>
      </c>
      <c r="I165">
        <v>7.6</v>
      </c>
      <c r="J165">
        <v>84</v>
      </c>
      <c r="K165">
        <v>2.8</v>
      </c>
      <c r="L165">
        <v>8.2200000000000006</v>
      </c>
      <c r="M165">
        <v>8.42</v>
      </c>
    </row>
    <row r="166" spans="1:13" x14ac:dyDescent="0.2">
      <c r="A166" t="s">
        <v>178</v>
      </c>
      <c r="B166">
        <v>19</v>
      </c>
      <c r="C166" t="s">
        <v>13</v>
      </c>
      <c r="D166">
        <v>6.1</v>
      </c>
      <c r="E166">
        <v>2.4</v>
      </c>
      <c r="G166">
        <v>3.9</v>
      </c>
      <c r="H166">
        <v>1.2</v>
      </c>
      <c r="I166">
        <v>6.9</v>
      </c>
      <c r="J166">
        <v>73</v>
      </c>
      <c r="K166">
        <v>2.5</v>
      </c>
      <c r="L166">
        <v>7.16</v>
      </c>
      <c r="M166">
        <v>7.36</v>
      </c>
    </row>
    <row r="167" spans="1:13" x14ac:dyDescent="0.2">
      <c r="A167" t="s">
        <v>179</v>
      </c>
      <c r="B167">
        <v>17</v>
      </c>
      <c r="C167" t="s">
        <v>13</v>
      </c>
      <c r="D167">
        <v>5.8</v>
      </c>
      <c r="E167">
        <v>2.2999999999999998</v>
      </c>
      <c r="G167">
        <v>4.2</v>
      </c>
      <c r="H167">
        <v>1.2</v>
      </c>
      <c r="I167">
        <v>7.8</v>
      </c>
      <c r="J167">
        <v>92</v>
      </c>
      <c r="K167">
        <v>3.1</v>
      </c>
      <c r="L167">
        <v>9.0299999999999994</v>
      </c>
      <c r="M167">
        <v>9.23</v>
      </c>
    </row>
    <row r="168" spans="1:13" x14ac:dyDescent="0.2">
      <c r="A168" t="s">
        <v>180</v>
      </c>
      <c r="B168">
        <v>23</v>
      </c>
      <c r="C168" t="s">
        <v>17</v>
      </c>
      <c r="D168">
        <v>7</v>
      </c>
      <c r="E168">
        <v>2.8</v>
      </c>
      <c r="G168">
        <v>3</v>
      </c>
      <c r="H168">
        <v>1.4</v>
      </c>
      <c r="I168">
        <v>6.2</v>
      </c>
      <c r="J168">
        <v>77</v>
      </c>
      <c r="K168">
        <v>2.6</v>
      </c>
      <c r="L168">
        <v>7.52</v>
      </c>
      <c r="M168">
        <v>7.72</v>
      </c>
    </row>
    <row r="169" spans="1:13" x14ac:dyDescent="0.2">
      <c r="A169" t="s">
        <v>181</v>
      </c>
      <c r="B169">
        <v>17</v>
      </c>
      <c r="C169" t="s">
        <v>17</v>
      </c>
      <c r="D169">
        <v>8.5</v>
      </c>
      <c r="E169">
        <v>3.4</v>
      </c>
      <c r="G169">
        <v>1.5</v>
      </c>
      <c r="H169">
        <v>1.7</v>
      </c>
      <c r="I169">
        <v>6.3</v>
      </c>
      <c r="J169">
        <v>58</v>
      </c>
      <c r="K169">
        <v>2</v>
      </c>
      <c r="L169">
        <v>5.6499999999999897</v>
      </c>
      <c r="M169">
        <v>5.85</v>
      </c>
    </row>
    <row r="170" spans="1:13" x14ac:dyDescent="0.2">
      <c r="A170" t="s">
        <v>182</v>
      </c>
      <c r="B170">
        <v>17</v>
      </c>
      <c r="C170" t="s">
        <v>17</v>
      </c>
      <c r="D170">
        <v>9.9</v>
      </c>
      <c r="E170">
        <v>4</v>
      </c>
      <c r="G170">
        <v>0.1</v>
      </c>
      <c r="H170">
        <v>2</v>
      </c>
      <c r="I170">
        <v>6.3</v>
      </c>
      <c r="J170">
        <v>65</v>
      </c>
      <c r="K170">
        <v>2.2000000000000002</v>
      </c>
      <c r="L170">
        <v>6.39</v>
      </c>
      <c r="M170">
        <v>6.59</v>
      </c>
    </row>
    <row r="171" spans="1:13" x14ac:dyDescent="0.2">
      <c r="A171" t="s">
        <v>183</v>
      </c>
      <c r="B171">
        <v>22</v>
      </c>
      <c r="C171" t="s">
        <v>17</v>
      </c>
      <c r="D171">
        <v>5.3</v>
      </c>
      <c r="E171">
        <v>2.1</v>
      </c>
      <c r="G171">
        <v>4.7</v>
      </c>
      <c r="H171">
        <v>1.1000000000000001</v>
      </c>
      <c r="I171">
        <v>8</v>
      </c>
      <c r="J171">
        <v>82</v>
      </c>
      <c r="K171">
        <v>2.8</v>
      </c>
      <c r="L171">
        <v>8.06</v>
      </c>
      <c r="M171">
        <v>8.26</v>
      </c>
    </row>
    <row r="172" spans="1:13" x14ac:dyDescent="0.2">
      <c r="A172" t="s">
        <v>184</v>
      </c>
      <c r="B172">
        <v>18</v>
      </c>
      <c r="C172" t="s">
        <v>17</v>
      </c>
      <c r="D172">
        <v>8.8000000000000007</v>
      </c>
      <c r="E172">
        <v>3.5</v>
      </c>
      <c r="G172">
        <v>1.2</v>
      </c>
      <c r="H172">
        <v>1.8</v>
      </c>
      <c r="I172">
        <v>6</v>
      </c>
      <c r="J172">
        <v>57</v>
      </c>
      <c r="K172">
        <v>1.9</v>
      </c>
      <c r="L172">
        <v>5.53</v>
      </c>
      <c r="M172">
        <v>5.73</v>
      </c>
    </row>
    <row r="173" spans="1:13" x14ac:dyDescent="0.2">
      <c r="A173" t="s">
        <v>185</v>
      </c>
      <c r="B173">
        <v>20</v>
      </c>
      <c r="C173" t="s">
        <v>17</v>
      </c>
      <c r="D173">
        <v>5.5</v>
      </c>
      <c r="E173">
        <v>2.2000000000000002</v>
      </c>
      <c r="G173">
        <v>4.5</v>
      </c>
      <c r="H173">
        <v>1.1000000000000001</v>
      </c>
      <c r="I173">
        <v>8.3000000000000007</v>
      </c>
      <c r="J173">
        <v>92</v>
      </c>
      <c r="K173">
        <v>3.1</v>
      </c>
      <c r="L173">
        <v>9.0399999999999991</v>
      </c>
      <c r="M173">
        <v>9.24</v>
      </c>
    </row>
    <row r="174" spans="1:13" x14ac:dyDescent="0.2">
      <c r="A174" t="s">
        <v>186</v>
      </c>
      <c r="B174">
        <v>23</v>
      </c>
      <c r="C174" t="s">
        <v>13</v>
      </c>
      <c r="D174">
        <v>4.8</v>
      </c>
      <c r="E174">
        <v>1.9</v>
      </c>
      <c r="G174">
        <v>5.2</v>
      </c>
      <c r="H174">
        <v>1</v>
      </c>
      <c r="I174">
        <v>7.5</v>
      </c>
      <c r="J174">
        <v>86</v>
      </c>
      <c r="K174">
        <v>2.9</v>
      </c>
      <c r="L174">
        <v>8.41</v>
      </c>
      <c r="M174">
        <v>8.61</v>
      </c>
    </row>
    <row r="175" spans="1:13" x14ac:dyDescent="0.2">
      <c r="A175" t="s">
        <v>187</v>
      </c>
      <c r="B175">
        <v>20</v>
      </c>
      <c r="C175" t="s">
        <v>17</v>
      </c>
      <c r="D175">
        <v>4.5</v>
      </c>
      <c r="E175">
        <v>1.8</v>
      </c>
      <c r="G175">
        <v>5.5</v>
      </c>
      <c r="H175">
        <v>0.9</v>
      </c>
      <c r="I175">
        <v>7</v>
      </c>
      <c r="J175">
        <v>82</v>
      </c>
      <c r="K175">
        <v>2.7</v>
      </c>
      <c r="L175">
        <v>8.02</v>
      </c>
      <c r="M175">
        <v>8.2200000000000006</v>
      </c>
    </row>
    <row r="176" spans="1:13" x14ac:dyDescent="0.2">
      <c r="A176" t="s">
        <v>188</v>
      </c>
      <c r="B176">
        <v>18</v>
      </c>
      <c r="C176" t="s">
        <v>17</v>
      </c>
      <c r="D176">
        <v>6.5</v>
      </c>
      <c r="E176">
        <v>2.6</v>
      </c>
      <c r="G176">
        <v>3.5</v>
      </c>
      <c r="H176">
        <v>1.3</v>
      </c>
      <c r="I176">
        <v>7.2</v>
      </c>
      <c r="J176">
        <v>78</v>
      </c>
      <c r="K176">
        <v>2.6</v>
      </c>
      <c r="L176">
        <v>7.67</v>
      </c>
      <c r="M176">
        <v>7.87</v>
      </c>
    </row>
    <row r="177" spans="1:13" x14ac:dyDescent="0.2">
      <c r="A177" t="s">
        <v>189</v>
      </c>
      <c r="B177">
        <v>25</v>
      </c>
      <c r="C177" t="s">
        <v>13</v>
      </c>
      <c r="D177">
        <v>7.5</v>
      </c>
      <c r="E177">
        <v>3</v>
      </c>
      <c r="G177">
        <v>2.5</v>
      </c>
      <c r="H177">
        <v>1.5</v>
      </c>
      <c r="I177">
        <v>6.9</v>
      </c>
      <c r="J177">
        <v>71</v>
      </c>
      <c r="K177">
        <v>2.4</v>
      </c>
      <c r="L177">
        <v>6.92</v>
      </c>
      <c r="M177">
        <v>7.12</v>
      </c>
    </row>
    <row r="178" spans="1:13" x14ac:dyDescent="0.2">
      <c r="A178" t="s">
        <v>190</v>
      </c>
      <c r="B178">
        <v>17</v>
      </c>
      <c r="C178" t="s">
        <v>13</v>
      </c>
      <c r="D178">
        <v>9.1999999999999993</v>
      </c>
      <c r="E178">
        <v>3.7</v>
      </c>
      <c r="G178">
        <v>0.8</v>
      </c>
      <c r="H178">
        <v>1.8</v>
      </c>
      <c r="I178">
        <v>6.5</v>
      </c>
      <c r="J178">
        <v>57</v>
      </c>
      <c r="K178">
        <v>1.9</v>
      </c>
      <c r="L178">
        <v>5.59</v>
      </c>
      <c r="M178">
        <v>5.79</v>
      </c>
    </row>
    <row r="179" spans="1:13" x14ac:dyDescent="0.2">
      <c r="A179" t="s">
        <v>191</v>
      </c>
      <c r="B179">
        <v>18</v>
      </c>
      <c r="C179" t="s">
        <v>17</v>
      </c>
      <c r="D179">
        <v>7.4</v>
      </c>
      <c r="E179">
        <v>3</v>
      </c>
      <c r="G179">
        <v>2.6</v>
      </c>
      <c r="H179">
        <v>1.5</v>
      </c>
      <c r="I179">
        <v>6.7</v>
      </c>
      <c r="J179">
        <v>79</v>
      </c>
      <c r="K179">
        <v>2.7</v>
      </c>
      <c r="L179">
        <v>7.78</v>
      </c>
      <c r="M179">
        <v>7.98</v>
      </c>
    </row>
    <row r="180" spans="1:13" x14ac:dyDescent="0.2">
      <c r="A180" t="s">
        <v>192</v>
      </c>
      <c r="B180">
        <v>23</v>
      </c>
      <c r="C180" t="s">
        <v>17</v>
      </c>
      <c r="D180">
        <v>7.1</v>
      </c>
      <c r="E180">
        <v>2.8</v>
      </c>
      <c r="G180">
        <v>2.9</v>
      </c>
      <c r="H180">
        <v>1.4</v>
      </c>
      <c r="I180">
        <v>7</v>
      </c>
      <c r="J180">
        <v>76</v>
      </c>
      <c r="K180">
        <v>2.6</v>
      </c>
      <c r="L180">
        <v>7.49</v>
      </c>
      <c r="M180">
        <v>7.69</v>
      </c>
    </row>
    <row r="181" spans="1:13" x14ac:dyDescent="0.2">
      <c r="A181" t="s">
        <v>193</v>
      </c>
      <c r="B181">
        <v>18</v>
      </c>
      <c r="C181" t="s">
        <v>17</v>
      </c>
      <c r="D181">
        <v>4.8</v>
      </c>
      <c r="E181">
        <v>1.9</v>
      </c>
      <c r="G181">
        <v>5.2</v>
      </c>
      <c r="H181">
        <v>1</v>
      </c>
      <c r="I181">
        <v>8.5</v>
      </c>
      <c r="J181">
        <v>94</v>
      </c>
      <c r="K181">
        <v>3.2</v>
      </c>
      <c r="L181">
        <v>9.27</v>
      </c>
      <c r="M181">
        <v>9.4700000000000006</v>
      </c>
    </row>
    <row r="182" spans="1:13" x14ac:dyDescent="0.2">
      <c r="A182" t="s">
        <v>194</v>
      </c>
      <c r="B182">
        <v>20</v>
      </c>
      <c r="C182" t="s">
        <v>17</v>
      </c>
      <c r="D182">
        <v>8.1</v>
      </c>
      <c r="E182">
        <v>3.2</v>
      </c>
      <c r="G182">
        <v>1.9</v>
      </c>
      <c r="H182">
        <v>1.6</v>
      </c>
      <c r="I182">
        <v>5.8</v>
      </c>
      <c r="J182">
        <v>65</v>
      </c>
      <c r="K182">
        <v>2.2000000000000002</v>
      </c>
      <c r="L182">
        <v>6.37</v>
      </c>
      <c r="M182">
        <v>6.57</v>
      </c>
    </row>
    <row r="183" spans="1:13" x14ac:dyDescent="0.2">
      <c r="A183" t="s">
        <v>195</v>
      </c>
      <c r="B183">
        <v>23</v>
      </c>
      <c r="C183" t="s">
        <v>17</v>
      </c>
      <c r="D183">
        <v>5.6</v>
      </c>
      <c r="E183">
        <v>2.2000000000000002</v>
      </c>
      <c r="G183">
        <v>4.4000000000000004</v>
      </c>
      <c r="H183">
        <v>1.1000000000000001</v>
      </c>
      <c r="I183">
        <v>8</v>
      </c>
      <c r="J183">
        <v>89</v>
      </c>
      <c r="K183">
        <v>3</v>
      </c>
      <c r="L183">
        <v>8.7100000000000009</v>
      </c>
      <c r="M183">
        <v>8.91</v>
      </c>
    </row>
    <row r="184" spans="1:13" x14ac:dyDescent="0.2">
      <c r="A184" t="s">
        <v>196</v>
      </c>
      <c r="B184">
        <v>24</v>
      </c>
      <c r="C184" t="s">
        <v>13</v>
      </c>
      <c r="D184">
        <v>4.0999999999999996</v>
      </c>
      <c r="E184">
        <v>1.6</v>
      </c>
      <c r="G184">
        <v>5.9</v>
      </c>
      <c r="H184">
        <v>0.8</v>
      </c>
      <c r="I184">
        <v>8.4</v>
      </c>
      <c r="J184">
        <v>80</v>
      </c>
      <c r="K184">
        <v>2.7</v>
      </c>
      <c r="L184">
        <v>7.87</v>
      </c>
      <c r="M184">
        <v>8.07</v>
      </c>
    </row>
    <row r="185" spans="1:13" x14ac:dyDescent="0.2">
      <c r="A185" t="s">
        <v>197</v>
      </c>
      <c r="B185">
        <v>21</v>
      </c>
      <c r="C185" t="s">
        <v>13</v>
      </c>
      <c r="D185">
        <v>7.6</v>
      </c>
      <c r="E185">
        <v>3</v>
      </c>
      <c r="G185">
        <v>2.4</v>
      </c>
      <c r="H185">
        <v>1.5</v>
      </c>
      <c r="I185">
        <v>6.3</v>
      </c>
      <c r="J185">
        <v>76</v>
      </c>
      <c r="K185">
        <v>2.5</v>
      </c>
      <c r="L185">
        <v>7.3999999999999897</v>
      </c>
      <c r="M185">
        <v>7.6</v>
      </c>
    </row>
    <row r="186" spans="1:13" x14ac:dyDescent="0.2">
      <c r="A186" t="s">
        <v>198</v>
      </c>
      <c r="B186">
        <v>17</v>
      </c>
      <c r="C186" t="s">
        <v>17</v>
      </c>
      <c r="D186">
        <v>8.6</v>
      </c>
      <c r="E186">
        <v>3.4</v>
      </c>
      <c r="G186">
        <v>1.4</v>
      </c>
      <c r="H186">
        <v>1.7</v>
      </c>
      <c r="I186">
        <v>5.5</v>
      </c>
      <c r="J186">
        <v>60</v>
      </c>
      <c r="K186">
        <v>2</v>
      </c>
      <c r="L186">
        <v>5.85</v>
      </c>
      <c r="M186">
        <v>6.05</v>
      </c>
    </row>
    <row r="187" spans="1:13" x14ac:dyDescent="0.2">
      <c r="A187" t="s">
        <v>199</v>
      </c>
      <c r="B187">
        <v>20</v>
      </c>
      <c r="C187" t="s">
        <v>17</v>
      </c>
      <c r="D187">
        <v>4.5</v>
      </c>
      <c r="E187">
        <v>1.8</v>
      </c>
      <c r="G187">
        <v>5.5</v>
      </c>
      <c r="H187">
        <v>0.9</v>
      </c>
      <c r="I187">
        <v>7.1</v>
      </c>
      <c r="J187">
        <v>93</v>
      </c>
      <c r="K187">
        <v>3.1</v>
      </c>
      <c r="L187">
        <v>9.14</v>
      </c>
      <c r="M187">
        <v>9.34</v>
      </c>
    </row>
    <row r="188" spans="1:13" x14ac:dyDescent="0.2">
      <c r="A188" t="s">
        <v>200</v>
      </c>
      <c r="B188">
        <v>24</v>
      </c>
      <c r="C188" t="s">
        <v>13</v>
      </c>
      <c r="D188">
        <v>8.3000000000000007</v>
      </c>
      <c r="E188">
        <v>3.3</v>
      </c>
      <c r="G188">
        <v>1.7</v>
      </c>
      <c r="H188">
        <v>1.7</v>
      </c>
      <c r="I188">
        <v>6.4</v>
      </c>
      <c r="J188">
        <v>62</v>
      </c>
      <c r="K188">
        <v>2.1</v>
      </c>
      <c r="L188">
        <v>6.09</v>
      </c>
      <c r="M188">
        <v>6.29</v>
      </c>
    </row>
    <row r="189" spans="1:13" x14ac:dyDescent="0.2">
      <c r="A189" t="s">
        <v>201</v>
      </c>
      <c r="B189">
        <v>19</v>
      </c>
      <c r="C189" t="s">
        <v>17</v>
      </c>
      <c r="D189">
        <v>4.8</v>
      </c>
      <c r="E189">
        <v>1.9</v>
      </c>
      <c r="G189">
        <v>5.2</v>
      </c>
      <c r="H189">
        <v>1</v>
      </c>
      <c r="I189">
        <v>7.4</v>
      </c>
      <c r="J189">
        <v>87</v>
      </c>
      <c r="K189">
        <v>2.9</v>
      </c>
      <c r="L189">
        <v>8.57</v>
      </c>
      <c r="M189">
        <v>8.77</v>
      </c>
    </row>
    <row r="190" spans="1:13" x14ac:dyDescent="0.2">
      <c r="A190" t="s">
        <v>202</v>
      </c>
      <c r="B190">
        <v>25</v>
      </c>
      <c r="C190" t="s">
        <v>13</v>
      </c>
      <c r="D190">
        <v>9</v>
      </c>
      <c r="E190">
        <v>3.6</v>
      </c>
      <c r="G190">
        <v>1</v>
      </c>
      <c r="H190">
        <v>1.8</v>
      </c>
      <c r="I190">
        <v>6.4</v>
      </c>
      <c r="J190">
        <v>66</v>
      </c>
      <c r="K190">
        <v>2.2000000000000002</v>
      </c>
      <c r="L190">
        <v>6.3999999999999897</v>
      </c>
      <c r="M190">
        <v>6.6</v>
      </c>
    </row>
    <row r="191" spans="1:13" x14ac:dyDescent="0.2">
      <c r="A191" t="s">
        <v>203</v>
      </c>
      <c r="B191">
        <v>25</v>
      </c>
      <c r="C191" t="s">
        <v>17</v>
      </c>
      <c r="D191">
        <v>6.8</v>
      </c>
      <c r="E191">
        <v>2.7</v>
      </c>
      <c r="G191">
        <v>3.2</v>
      </c>
      <c r="H191">
        <v>1.4</v>
      </c>
      <c r="I191">
        <v>6.5</v>
      </c>
      <c r="J191">
        <v>72</v>
      </c>
      <c r="K191">
        <v>2.4</v>
      </c>
      <c r="L191">
        <v>7.01</v>
      </c>
      <c r="M191">
        <v>7.21</v>
      </c>
    </row>
    <row r="192" spans="1:13" x14ac:dyDescent="0.2">
      <c r="A192" t="s">
        <v>204</v>
      </c>
      <c r="B192">
        <v>18</v>
      </c>
      <c r="C192" t="s">
        <v>17</v>
      </c>
      <c r="D192">
        <v>8.1</v>
      </c>
      <c r="E192">
        <v>3.2</v>
      </c>
      <c r="G192">
        <v>1.9</v>
      </c>
      <c r="H192">
        <v>1.6</v>
      </c>
      <c r="I192">
        <v>5.4</v>
      </c>
      <c r="J192">
        <v>60</v>
      </c>
      <c r="K192">
        <v>2</v>
      </c>
      <c r="L192">
        <v>5.87</v>
      </c>
      <c r="M192">
        <v>6.07</v>
      </c>
    </row>
    <row r="193" spans="1:13" x14ac:dyDescent="0.2">
      <c r="A193" t="s">
        <v>205</v>
      </c>
      <c r="B193">
        <v>21</v>
      </c>
      <c r="C193" t="s">
        <v>13</v>
      </c>
      <c r="D193">
        <v>4</v>
      </c>
      <c r="E193">
        <v>1.6</v>
      </c>
      <c r="G193">
        <v>6</v>
      </c>
      <c r="H193">
        <v>0.8</v>
      </c>
      <c r="I193">
        <v>7</v>
      </c>
      <c r="J193">
        <v>97</v>
      </c>
      <c r="K193">
        <v>3.2</v>
      </c>
      <c r="L193">
        <v>9.5399999999999991</v>
      </c>
      <c r="M193">
        <v>9.74</v>
      </c>
    </row>
    <row r="194" spans="1:13" x14ac:dyDescent="0.2">
      <c r="A194" t="s">
        <v>206</v>
      </c>
      <c r="B194">
        <v>23</v>
      </c>
      <c r="C194" t="s">
        <v>17</v>
      </c>
      <c r="D194">
        <v>8.8000000000000007</v>
      </c>
      <c r="E194">
        <v>3.5</v>
      </c>
      <c r="G194">
        <v>1.2</v>
      </c>
      <c r="H194">
        <v>1.8</v>
      </c>
      <c r="I194">
        <v>6.2</v>
      </c>
      <c r="J194">
        <v>67</v>
      </c>
      <c r="K194">
        <v>2.2000000000000002</v>
      </c>
      <c r="L194">
        <v>6.55</v>
      </c>
      <c r="M194">
        <v>6.75</v>
      </c>
    </row>
    <row r="195" spans="1:13" x14ac:dyDescent="0.2">
      <c r="A195" t="s">
        <v>207</v>
      </c>
      <c r="B195">
        <v>21</v>
      </c>
      <c r="C195" t="s">
        <v>17</v>
      </c>
      <c r="D195">
        <v>5.0999999999999996</v>
      </c>
      <c r="E195">
        <v>2</v>
      </c>
      <c r="G195">
        <v>4.9000000000000004</v>
      </c>
      <c r="H195">
        <v>1</v>
      </c>
      <c r="I195">
        <v>8.3000000000000007</v>
      </c>
      <c r="J195">
        <v>88</v>
      </c>
      <c r="K195">
        <v>3</v>
      </c>
      <c r="L195">
        <v>8.68</v>
      </c>
      <c r="M195">
        <v>8.8800000000000008</v>
      </c>
    </row>
    <row r="196" spans="1:13" x14ac:dyDescent="0.2">
      <c r="A196" t="s">
        <v>208</v>
      </c>
      <c r="B196">
        <v>18</v>
      </c>
      <c r="C196" t="s">
        <v>17</v>
      </c>
      <c r="D196">
        <v>8</v>
      </c>
      <c r="E196">
        <v>3.2</v>
      </c>
      <c r="G196">
        <v>2</v>
      </c>
      <c r="H196">
        <v>1.6</v>
      </c>
      <c r="I196">
        <v>6.3</v>
      </c>
      <c r="J196">
        <v>64</v>
      </c>
      <c r="K196">
        <v>2.1</v>
      </c>
      <c r="L196">
        <v>6.2</v>
      </c>
      <c r="M196">
        <v>6.4</v>
      </c>
    </row>
    <row r="197" spans="1:13" x14ac:dyDescent="0.2">
      <c r="A197" t="s">
        <v>209</v>
      </c>
      <c r="B197">
        <v>23</v>
      </c>
      <c r="C197" t="s">
        <v>17</v>
      </c>
      <c r="D197">
        <v>7.9</v>
      </c>
      <c r="E197">
        <v>3.2</v>
      </c>
      <c r="G197">
        <v>2.1</v>
      </c>
      <c r="H197">
        <v>1.6</v>
      </c>
      <c r="I197">
        <v>6.1</v>
      </c>
      <c r="J197">
        <v>76</v>
      </c>
      <c r="K197">
        <v>2.5</v>
      </c>
      <c r="L197">
        <v>7.43</v>
      </c>
      <c r="M197">
        <v>7.63</v>
      </c>
    </row>
    <row r="198" spans="1:13" x14ac:dyDescent="0.2">
      <c r="A198" t="s">
        <v>210</v>
      </c>
      <c r="B198">
        <v>23</v>
      </c>
      <c r="C198" t="s">
        <v>17</v>
      </c>
      <c r="D198">
        <v>5.0999999999999996</v>
      </c>
      <c r="E198">
        <v>2</v>
      </c>
      <c r="G198">
        <v>4.9000000000000004</v>
      </c>
      <c r="H198">
        <v>1</v>
      </c>
      <c r="I198">
        <v>8.4</v>
      </c>
      <c r="J198">
        <v>89</v>
      </c>
      <c r="K198">
        <v>3</v>
      </c>
      <c r="L198">
        <v>8.74</v>
      </c>
      <c r="M198">
        <v>8.94</v>
      </c>
    </row>
    <row r="199" spans="1:13" x14ac:dyDescent="0.2">
      <c r="A199" t="s">
        <v>211</v>
      </c>
      <c r="B199">
        <v>20</v>
      </c>
      <c r="C199" t="s">
        <v>17</v>
      </c>
      <c r="D199">
        <v>5.2</v>
      </c>
      <c r="E199">
        <v>2.1</v>
      </c>
      <c r="G199">
        <v>4.8</v>
      </c>
      <c r="H199">
        <v>1</v>
      </c>
      <c r="I199">
        <v>7.6</v>
      </c>
      <c r="J199">
        <v>80</v>
      </c>
      <c r="K199">
        <v>2.7</v>
      </c>
      <c r="L199">
        <v>7.8299999999999903</v>
      </c>
      <c r="M199">
        <v>8.0299999999999994</v>
      </c>
    </row>
    <row r="200" spans="1:13" x14ac:dyDescent="0.2">
      <c r="A200" t="s">
        <v>212</v>
      </c>
      <c r="B200">
        <v>19</v>
      </c>
      <c r="C200" t="s">
        <v>13</v>
      </c>
      <c r="D200">
        <v>6.7</v>
      </c>
      <c r="E200">
        <v>2.7</v>
      </c>
      <c r="G200">
        <v>3.3</v>
      </c>
      <c r="H200">
        <v>1.3</v>
      </c>
      <c r="I200">
        <v>7</v>
      </c>
      <c r="J200">
        <v>74</v>
      </c>
      <c r="K200">
        <v>2.5</v>
      </c>
      <c r="L200">
        <v>7.2299999999999898</v>
      </c>
      <c r="M200">
        <v>7.43</v>
      </c>
    </row>
    <row r="201" spans="1:13" x14ac:dyDescent="0.2">
      <c r="A201" t="s">
        <v>213</v>
      </c>
      <c r="B201">
        <v>23</v>
      </c>
      <c r="C201" t="s">
        <v>17</v>
      </c>
      <c r="D201">
        <v>4.7</v>
      </c>
      <c r="E201">
        <v>1.9</v>
      </c>
      <c r="G201">
        <v>5.3</v>
      </c>
      <c r="H201">
        <v>0.9</v>
      </c>
      <c r="I201">
        <v>8</v>
      </c>
      <c r="J201">
        <v>79</v>
      </c>
      <c r="K201">
        <v>2.6</v>
      </c>
      <c r="L201">
        <v>7.75</v>
      </c>
      <c r="M201">
        <v>7.95</v>
      </c>
    </row>
    <row r="202" spans="1:13" x14ac:dyDescent="0.2">
      <c r="A202" t="s">
        <v>214</v>
      </c>
      <c r="B202">
        <v>25</v>
      </c>
      <c r="C202" t="s">
        <v>17</v>
      </c>
      <c r="D202">
        <v>4.4000000000000004</v>
      </c>
      <c r="E202">
        <v>1.8</v>
      </c>
      <c r="G202">
        <v>5.6</v>
      </c>
      <c r="H202">
        <v>0.9</v>
      </c>
      <c r="I202">
        <v>7.8</v>
      </c>
      <c r="J202">
        <v>84</v>
      </c>
      <c r="K202">
        <v>2.8</v>
      </c>
      <c r="L202">
        <v>8.23</v>
      </c>
      <c r="M202">
        <v>8.43</v>
      </c>
    </row>
    <row r="203" spans="1:13" x14ac:dyDescent="0.2">
      <c r="A203" t="s">
        <v>215</v>
      </c>
      <c r="B203">
        <v>23</v>
      </c>
      <c r="C203" t="s">
        <v>17</v>
      </c>
      <c r="D203">
        <v>7.8</v>
      </c>
      <c r="E203">
        <v>3.1</v>
      </c>
      <c r="G203">
        <v>2.2000000000000002</v>
      </c>
      <c r="H203">
        <v>1.6</v>
      </c>
      <c r="I203">
        <v>6.9</v>
      </c>
      <c r="J203">
        <v>78</v>
      </c>
      <c r="K203">
        <v>2.6</v>
      </c>
      <c r="L203">
        <v>7.66</v>
      </c>
      <c r="M203">
        <v>7.86</v>
      </c>
    </row>
    <row r="204" spans="1:13" x14ac:dyDescent="0.2">
      <c r="A204" t="s">
        <v>216</v>
      </c>
      <c r="B204">
        <v>19</v>
      </c>
      <c r="C204" t="s">
        <v>17</v>
      </c>
      <c r="D204">
        <v>9.1999999999999993</v>
      </c>
      <c r="E204">
        <v>3.7</v>
      </c>
      <c r="G204">
        <v>0.8</v>
      </c>
      <c r="H204">
        <v>1.8</v>
      </c>
      <c r="I204">
        <v>6.3</v>
      </c>
      <c r="J204">
        <v>55</v>
      </c>
      <c r="K204">
        <v>1.8</v>
      </c>
      <c r="L204">
        <v>5.33</v>
      </c>
      <c r="M204">
        <v>5.53</v>
      </c>
    </row>
    <row r="205" spans="1:13" x14ac:dyDescent="0.2">
      <c r="A205" t="s">
        <v>217</v>
      </c>
      <c r="B205">
        <v>25</v>
      </c>
      <c r="C205" t="s">
        <v>13</v>
      </c>
      <c r="D205">
        <v>10</v>
      </c>
      <c r="E205">
        <v>4</v>
      </c>
      <c r="G205">
        <v>0</v>
      </c>
      <c r="H205">
        <v>2</v>
      </c>
      <c r="I205">
        <v>6.2</v>
      </c>
      <c r="J205">
        <v>59</v>
      </c>
      <c r="K205">
        <v>2</v>
      </c>
      <c r="L205">
        <v>5.76</v>
      </c>
      <c r="M205">
        <v>5.96</v>
      </c>
    </row>
    <row r="206" spans="1:13" x14ac:dyDescent="0.2">
      <c r="A206" t="s">
        <v>218</v>
      </c>
      <c r="B206">
        <v>23</v>
      </c>
      <c r="C206" t="s">
        <v>13</v>
      </c>
      <c r="D206">
        <v>9.1999999999999993</v>
      </c>
      <c r="E206">
        <v>3.7</v>
      </c>
      <c r="G206">
        <v>0.8</v>
      </c>
      <c r="H206">
        <v>1.8</v>
      </c>
      <c r="I206">
        <v>6.2</v>
      </c>
      <c r="J206">
        <v>67</v>
      </c>
      <c r="K206">
        <v>2.2999999999999998</v>
      </c>
      <c r="L206">
        <v>6.58</v>
      </c>
      <c r="M206">
        <v>6.78</v>
      </c>
    </row>
    <row r="207" spans="1:13" x14ac:dyDescent="0.2">
      <c r="A207" t="s">
        <v>219</v>
      </c>
      <c r="B207">
        <v>18</v>
      </c>
      <c r="C207" t="s">
        <v>13</v>
      </c>
      <c r="D207">
        <v>8.4</v>
      </c>
      <c r="E207">
        <v>3.4</v>
      </c>
      <c r="G207">
        <v>1.6</v>
      </c>
      <c r="H207">
        <v>1.7</v>
      </c>
      <c r="I207">
        <v>5.2</v>
      </c>
      <c r="J207">
        <v>58</v>
      </c>
      <c r="K207">
        <v>1.9</v>
      </c>
      <c r="L207">
        <v>5.6099999999999897</v>
      </c>
      <c r="M207">
        <v>5.81</v>
      </c>
    </row>
    <row r="208" spans="1:13" x14ac:dyDescent="0.2">
      <c r="A208" t="s">
        <v>220</v>
      </c>
      <c r="B208">
        <v>25</v>
      </c>
      <c r="C208" t="s">
        <v>17</v>
      </c>
      <c r="D208">
        <v>8.3000000000000007</v>
      </c>
      <c r="E208">
        <v>3.3</v>
      </c>
      <c r="G208">
        <v>1.7</v>
      </c>
      <c r="H208">
        <v>1.7</v>
      </c>
      <c r="I208">
        <v>5.4</v>
      </c>
      <c r="J208">
        <v>62</v>
      </c>
      <c r="K208">
        <v>2.1</v>
      </c>
      <c r="L208">
        <v>6.0699999999999896</v>
      </c>
      <c r="M208">
        <v>6.27</v>
      </c>
    </row>
    <row r="209" spans="1:13" x14ac:dyDescent="0.2">
      <c r="A209" t="s">
        <v>221</v>
      </c>
      <c r="B209">
        <v>21</v>
      </c>
      <c r="C209" t="s">
        <v>17</v>
      </c>
      <c r="D209">
        <v>6.3</v>
      </c>
      <c r="E209">
        <v>2.5</v>
      </c>
      <c r="G209">
        <v>3.7</v>
      </c>
      <c r="H209">
        <v>1.3</v>
      </c>
      <c r="I209">
        <v>6.3</v>
      </c>
      <c r="J209">
        <v>76</v>
      </c>
      <c r="K209">
        <v>2.5</v>
      </c>
      <c r="L209">
        <v>7.42</v>
      </c>
      <c r="M209">
        <v>7.62</v>
      </c>
    </row>
    <row r="210" spans="1:13" x14ac:dyDescent="0.2">
      <c r="A210" t="s">
        <v>222</v>
      </c>
      <c r="B210">
        <v>18</v>
      </c>
      <c r="C210" t="s">
        <v>17</v>
      </c>
      <c r="D210">
        <v>5.6</v>
      </c>
      <c r="E210">
        <v>2.2000000000000002</v>
      </c>
      <c r="G210">
        <v>4.4000000000000004</v>
      </c>
      <c r="H210">
        <v>1.1000000000000001</v>
      </c>
      <c r="I210">
        <v>8.5</v>
      </c>
      <c r="J210">
        <v>89</v>
      </c>
      <c r="K210">
        <v>3</v>
      </c>
      <c r="L210">
        <v>8.7799999999999994</v>
      </c>
      <c r="M210">
        <v>8.98</v>
      </c>
    </row>
    <row r="211" spans="1:13" x14ac:dyDescent="0.2">
      <c r="A211" t="s">
        <v>223</v>
      </c>
      <c r="B211">
        <v>21</v>
      </c>
      <c r="C211" t="s">
        <v>17</v>
      </c>
      <c r="D211">
        <v>8.5</v>
      </c>
      <c r="E211">
        <v>3.4</v>
      </c>
      <c r="G211">
        <v>1.5</v>
      </c>
      <c r="H211">
        <v>1.7</v>
      </c>
      <c r="I211">
        <v>5.6</v>
      </c>
      <c r="J211">
        <v>55</v>
      </c>
      <c r="K211">
        <v>1.9</v>
      </c>
      <c r="L211">
        <v>5.38</v>
      </c>
      <c r="M211">
        <v>5.58</v>
      </c>
    </row>
    <row r="212" spans="1:13" x14ac:dyDescent="0.2">
      <c r="A212" t="s">
        <v>224</v>
      </c>
      <c r="B212">
        <v>25</v>
      </c>
      <c r="C212" t="s">
        <v>17</v>
      </c>
      <c r="D212">
        <v>7.1</v>
      </c>
      <c r="E212">
        <v>2.8</v>
      </c>
      <c r="G212">
        <v>2.9</v>
      </c>
      <c r="H212">
        <v>1.4</v>
      </c>
      <c r="I212">
        <v>6.3</v>
      </c>
      <c r="J212">
        <v>70</v>
      </c>
      <c r="K212">
        <v>2.4</v>
      </c>
      <c r="L212">
        <v>6.88</v>
      </c>
      <c r="M212">
        <v>7.08</v>
      </c>
    </row>
    <row r="213" spans="1:13" x14ac:dyDescent="0.2">
      <c r="A213" t="s">
        <v>225</v>
      </c>
      <c r="B213">
        <v>23</v>
      </c>
      <c r="C213" t="s">
        <v>17</v>
      </c>
      <c r="D213">
        <v>9.6999999999999993</v>
      </c>
      <c r="E213">
        <v>3.9</v>
      </c>
      <c r="G213">
        <v>0.3</v>
      </c>
      <c r="H213">
        <v>1.9</v>
      </c>
      <c r="I213">
        <v>6.2</v>
      </c>
      <c r="J213">
        <v>65</v>
      </c>
      <c r="K213">
        <v>2.2000000000000002</v>
      </c>
      <c r="L213">
        <v>6.37</v>
      </c>
      <c r="M213">
        <v>6.57</v>
      </c>
    </row>
    <row r="214" spans="1:13" x14ac:dyDescent="0.2">
      <c r="A214" t="s">
        <v>226</v>
      </c>
      <c r="B214">
        <v>19</v>
      </c>
      <c r="C214" t="s">
        <v>13</v>
      </c>
      <c r="D214">
        <v>7.1</v>
      </c>
      <c r="E214">
        <v>2.8</v>
      </c>
      <c r="G214">
        <v>2.9</v>
      </c>
      <c r="H214">
        <v>1.4</v>
      </c>
      <c r="I214">
        <v>6.8</v>
      </c>
      <c r="J214">
        <v>75</v>
      </c>
      <c r="K214">
        <v>2.5</v>
      </c>
      <c r="L214">
        <v>7.3199999999999896</v>
      </c>
      <c r="M214">
        <v>7.52</v>
      </c>
    </row>
    <row r="215" spans="1:13" x14ac:dyDescent="0.2">
      <c r="A215" t="s">
        <v>227</v>
      </c>
      <c r="B215">
        <v>22</v>
      </c>
      <c r="C215" t="s">
        <v>17</v>
      </c>
      <c r="D215">
        <v>6.9</v>
      </c>
      <c r="E215">
        <v>2.8</v>
      </c>
      <c r="G215">
        <v>3.1</v>
      </c>
      <c r="H215">
        <v>1.4</v>
      </c>
      <c r="I215">
        <v>7.3</v>
      </c>
      <c r="J215">
        <v>80</v>
      </c>
      <c r="K215">
        <v>2.7</v>
      </c>
      <c r="L215">
        <v>7.8</v>
      </c>
      <c r="M215">
        <v>8</v>
      </c>
    </row>
    <row r="216" spans="1:13" x14ac:dyDescent="0.2">
      <c r="A216" t="s">
        <v>228</v>
      </c>
      <c r="B216">
        <v>18</v>
      </c>
      <c r="C216" t="s">
        <v>17</v>
      </c>
      <c r="D216">
        <v>5.3</v>
      </c>
      <c r="E216">
        <v>2.1</v>
      </c>
      <c r="G216">
        <v>4.7</v>
      </c>
      <c r="H216">
        <v>1.1000000000000001</v>
      </c>
      <c r="I216">
        <v>7.9</v>
      </c>
      <c r="J216">
        <v>88</v>
      </c>
      <c r="K216">
        <v>3</v>
      </c>
      <c r="L216">
        <v>8.67</v>
      </c>
      <c r="M216">
        <v>8.8699999999999992</v>
      </c>
    </row>
    <row r="217" spans="1:13" x14ac:dyDescent="0.2">
      <c r="A217" t="s">
        <v>229</v>
      </c>
      <c r="B217">
        <v>19</v>
      </c>
      <c r="C217" t="s">
        <v>17</v>
      </c>
      <c r="D217">
        <v>9.3000000000000007</v>
      </c>
      <c r="E217">
        <v>3.7</v>
      </c>
      <c r="G217">
        <v>0.7</v>
      </c>
      <c r="H217">
        <v>1.9</v>
      </c>
      <c r="I217">
        <v>5.2</v>
      </c>
      <c r="J217">
        <v>58</v>
      </c>
      <c r="K217">
        <v>2</v>
      </c>
      <c r="L217">
        <v>5.6499999999999897</v>
      </c>
      <c r="M217">
        <v>5.85</v>
      </c>
    </row>
    <row r="218" spans="1:13" x14ac:dyDescent="0.2">
      <c r="A218" t="s">
        <v>230</v>
      </c>
      <c r="B218">
        <v>21</v>
      </c>
      <c r="C218" t="s">
        <v>17</v>
      </c>
      <c r="D218">
        <v>9.1</v>
      </c>
      <c r="E218">
        <v>3.6</v>
      </c>
      <c r="G218">
        <v>0.9</v>
      </c>
      <c r="H218">
        <v>1.8</v>
      </c>
      <c r="I218">
        <v>5.5</v>
      </c>
      <c r="J218">
        <v>55</v>
      </c>
      <c r="K218">
        <v>1.8</v>
      </c>
      <c r="L218">
        <v>5.35</v>
      </c>
      <c r="M218">
        <v>5.55</v>
      </c>
    </row>
    <row r="219" spans="1:13" x14ac:dyDescent="0.2">
      <c r="A219" t="s">
        <v>231</v>
      </c>
      <c r="B219">
        <v>21</v>
      </c>
      <c r="C219" t="s">
        <v>13</v>
      </c>
      <c r="D219">
        <v>4.5</v>
      </c>
      <c r="E219">
        <v>1.8</v>
      </c>
      <c r="G219">
        <v>5.5</v>
      </c>
      <c r="H219">
        <v>0.9</v>
      </c>
      <c r="I219">
        <v>7.6</v>
      </c>
      <c r="J219">
        <v>86</v>
      </c>
      <c r="K219">
        <v>2.9</v>
      </c>
      <c r="L219">
        <v>8.42</v>
      </c>
      <c r="M219">
        <v>8.6199999999999992</v>
      </c>
    </row>
    <row r="220" spans="1:13" x14ac:dyDescent="0.2">
      <c r="A220" t="s">
        <v>232</v>
      </c>
      <c r="B220">
        <v>17</v>
      </c>
      <c r="C220" t="s">
        <v>13</v>
      </c>
      <c r="D220">
        <v>7</v>
      </c>
      <c r="E220">
        <v>2.8</v>
      </c>
      <c r="G220">
        <v>3</v>
      </c>
      <c r="H220">
        <v>1.4</v>
      </c>
      <c r="I220">
        <v>6.3</v>
      </c>
      <c r="J220">
        <v>69</v>
      </c>
      <c r="K220">
        <v>2.2999999999999998</v>
      </c>
      <c r="L220">
        <v>6.7</v>
      </c>
      <c r="M220">
        <v>6.9</v>
      </c>
    </row>
    <row r="221" spans="1:13" x14ac:dyDescent="0.2">
      <c r="A221" t="s">
        <v>233</v>
      </c>
      <c r="B221">
        <v>19</v>
      </c>
      <c r="C221" t="s">
        <v>13</v>
      </c>
      <c r="D221">
        <v>7</v>
      </c>
      <c r="E221">
        <v>2.8</v>
      </c>
      <c r="G221">
        <v>3</v>
      </c>
      <c r="H221">
        <v>1.4</v>
      </c>
      <c r="I221">
        <v>6.9</v>
      </c>
      <c r="J221">
        <v>73</v>
      </c>
      <c r="K221">
        <v>2.5</v>
      </c>
      <c r="L221">
        <v>7.18</v>
      </c>
      <c r="M221">
        <v>7.38</v>
      </c>
    </row>
    <row r="222" spans="1:13" x14ac:dyDescent="0.2">
      <c r="A222" t="s">
        <v>234</v>
      </c>
      <c r="B222">
        <v>22</v>
      </c>
      <c r="C222" t="s">
        <v>13</v>
      </c>
      <c r="D222">
        <v>8</v>
      </c>
      <c r="E222">
        <v>3.2</v>
      </c>
      <c r="G222">
        <v>2</v>
      </c>
      <c r="H222">
        <v>1.6</v>
      </c>
      <c r="I222">
        <v>6.3</v>
      </c>
      <c r="J222">
        <v>62</v>
      </c>
      <c r="K222">
        <v>2.1</v>
      </c>
      <c r="L222">
        <v>6.01</v>
      </c>
      <c r="M222">
        <v>6.21</v>
      </c>
    </row>
    <row r="223" spans="1:13" x14ac:dyDescent="0.2">
      <c r="A223" t="s">
        <v>586</v>
      </c>
      <c r="F223" t="str">
        <f>TRIM(A2)</f>
        <v>S011</v>
      </c>
    </row>
    <row r="224" spans="1:13" x14ac:dyDescent="0.2">
      <c r="A224" t="s">
        <v>235</v>
      </c>
      <c r="B224">
        <v>25</v>
      </c>
      <c r="C224" t="s">
        <v>17</v>
      </c>
      <c r="D224">
        <v>8.8000000000000007</v>
      </c>
      <c r="E224">
        <v>3.5</v>
      </c>
      <c r="G224">
        <v>1.2</v>
      </c>
      <c r="H224">
        <v>1.8</v>
      </c>
      <c r="I224">
        <v>6.3</v>
      </c>
      <c r="J224">
        <v>63</v>
      </c>
      <c r="K224">
        <v>2.1</v>
      </c>
      <c r="L224">
        <v>6.16</v>
      </c>
      <c r="M224">
        <v>6.36</v>
      </c>
    </row>
    <row r="225" spans="1:13" x14ac:dyDescent="0.2">
      <c r="A225" t="s">
        <v>236</v>
      </c>
      <c r="B225">
        <v>21</v>
      </c>
      <c r="C225" t="s">
        <v>17</v>
      </c>
      <c r="D225">
        <v>8.1</v>
      </c>
      <c r="E225">
        <v>3.2</v>
      </c>
      <c r="G225">
        <v>1.9</v>
      </c>
      <c r="H225">
        <v>1.6</v>
      </c>
      <c r="I225">
        <v>6.1</v>
      </c>
      <c r="J225">
        <v>63</v>
      </c>
      <c r="K225">
        <v>2.1</v>
      </c>
      <c r="L225">
        <v>6.1</v>
      </c>
      <c r="M225">
        <v>6.3</v>
      </c>
    </row>
    <row r="226" spans="1:13" x14ac:dyDescent="0.2">
      <c r="A226" t="s">
        <v>237</v>
      </c>
      <c r="B226">
        <v>21</v>
      </c>
      <c r="C226" t="s">
        <v>13</v>
      </c>
      <c r="D226">
        <v>9.8000000000000007</v>
      </c>
      <c r="E226">
        <v>3.9</v>
      </c>
      <c r="G226">
        <v>0.2</v>
      </c>
      <c r="H226">
        <v>2</v>
      </c>
      <c r="I226">
        <v>6.3</v>
      </c>
      <c r="J226">
        <v>61</v>
      </c>
      <c r="K226">
        <v>2</v>
      </c>
      <c r="L226">
        <v>5.91</v>
      </c>
      <c r="M226">
        <v>6.11</v>
      </c>
    </row>
    <row r="227" spans="1:13" x14ac:dyDescent="0.2">
      <c r="A227" t="s">
        <v>238</v>
      </c>
      <c r="B227">
        <v>18</v>
      </c>
      <c r="C227" t="s">
        <v>13</v>
      </c>
      <c r="D227">
        <v>9.5</v>
      </c>
      <c r="E227">
        <v>3.8</v>
      </c>
      <c r="G227">
        <v>0.5</v>
      </c>
      <c r="H227">
        <v>1.9</v>
      </c>
      <c r="I227">
        <v>5.8</v>
      </c>
      <c r="J227">
        <v>55</v>
      </c>
      <c r="K227">
        <v>1.8</v>
      </c>
      <c r="L227">
        <v>5.3</v>
      </c>
      <c r="M227">
        <v>5.5</v>
      </c>
    </row>
    <row r="228" spans="1:13" x14ac:dyDescent="0.2">
      <c r="A228" t="s">
        <v>239</v>
      </c>
      <c r="B228">
        <v>18</v>
      </c>
      <c r="C228" t="s">
        <v>13</v>
      </c>
      <c r="D228">
        <v>4.5</v>
      </c>
      <c r="E228">
        <v>1.8</v>
      </c>
      <c r="G228">
        <v>5.5</v>
      </c>
      <c r="H228">
        <v>0.9</v>
      </c>
      <c r="I228">
        <v>7.8</v>
      </c>
      <c r="J228">
        <v>84</v>
      </c>
      <c r="K228">
        <v>2.8</v>
      </c>
      <c r="L228">
        <v>8.25</v>
      </c>
      <c r="M228">
        <v>8.4499999999999993</v>
      </c>
    </row>
    <row r="229" spans="1:13" x14ac:dyDescent="0.2">
      <c r="A229" t="s">
        <v>240</v>
      </c>
      <c r="B229">
        <v>23</v>
      </c>
      <c r="C229" t="s">
        <v>13</v>
      </c>
      <c r="D229">
        <v>4.0999999999999996</v>
      </c>
      <c r="E229">
        <v>1.6</v>
      </c>
      <c r="G229">
        <v>5.9</v>
      </c>
      <c r="H229">
        <v>0.8</v>
      </c>
      <c r="I229">
        <v>7.2</v>
      </c>
      <c r="J229">
        <v>94</v>
      </c>
      <c r="K229">
        <v>3.1</v>
      </c>
      <c r="L229">
        <v>9.24</v>
      </c>
      <c r="M229">
        <v>9.44</v>
      </c>
    </row>
    <row r="230" spans="1:13" x14ac:dyDescent="0.2">
      <c r="A230" t="s">
        <v>241</v>
      </c>
      <c r="B230">
        <v>22</v>
      </c>
      <c r="C230" t="s">
        <v>13</v>
      </c>
      <c r="D230">
        <v>6.6</v>
      </c>
      <c r="E230">
        <v>2.6</v>
      </c>
      <c r="G230">
        <v>3.4</v>
      </c>
      <c r="H230">
        <v>1.3</v>
      </c>
      <c r="I230">
        <v>6.6</v>
      </c>
      <c r="J230">
        <v>78</v>
      </c>
      <c r="K230">
        <v>2.6</v>
      </c>
      <c r="L230">
        <v>7.6099999999999897</v>
      </c>
      <c r="M230">
        <v>7.81</v>
      </c>
    </row>
    <row r="231" spans="1:13" x14ac:dyDescent="0.2">
      <c r="A231" t="s">
        <v>242</v>
      </c>
      <c r="B231">
        <v>22</v>
      </c>
      <c r="C231" t="s">
        <v>17</v>
      </c>
      <c r="D231">
        <v>5</v>
      </c>
      <c r="E231">
        <v>2</v>
      </c>
      <c r="G231">
        <v>5</v>
      </c>
      <c r="H231">
        <v>1</v>
      </c>
      <c r="I231">
        <v>8.4</v>
      </c>
      <c r="J231">
        <v>93</v>
      </c>
      <c r="K231">
        <v>3.1</v>
      </c>
      <c r="L231">
        <v>9.14</v>
      </c>
      <c r="M231">
        <v>9.34</v>
      </c>
    </row>
    <row r="232" spans="1:13" x14ac:dyDescent="0.2">
      <c r="A232" t="s">
        <v>243</v>
      </c>
      <c r="B232">
        <v>18</v>
      </c>
      <c r="C232" t="s">
        <v>13</v>
      </c>
      <c r="D232">
        <v>7.5</v>
      </c>
      <c r="E232">
        <v>3</v>
      </c>
      <c r="G232">
        <v>2.5</v>
      </c>
      <c r="H232">
        <v>1.5</v>
      </c>
      <c r="I232">
        <v>6.9</v>
      </c>
      <c r="J232">
        <v>72</v>
      </c>
      <c r="K232">
        <v>2.4</v>
      </c>
      <c r="L232">
        <v>7.02</v>
      </c>
      <c r="M232">
        <v>7.22</v>
      </c>
    </row>
    <row r="233" spans="1:13" x14ac:dyDescent="0.2">
      <c r="A233" t="s">
        <v>244</v>
      </c>
      <c r="B233">
        <v>20</v>
      </c>
      <c r="C233" t="s">
        <v>17</v>
      </c>
      <c r="D233">
        <v>9.8000000000000007</v>
      </c>
      <c r="E233">
        <v>3.9</v>
      </c>
      <c r="G233">
        <v>0.2</v>
      </c>
      <c r="H233">
        <v>2</v>
      </c>
      <c r="I233">
        <v>6.1</v>
      </c>
      <c r="J233">
        <v>67</v>
      </c>
      <c r="K233">
        <v>2.2999999999999998</v>
      </c>
      <c r="L233">
        <v>6.56</v>
      </c>
      <c r="M233">
        <v>6.76</v>
      </c>
    </row>
    <row r="234" spans="1:13" x14ac:dyDescent="0.2">
      <c r="A234" t="s">
        <v>245</v>
      </c>
      <c r="B234">
        <v>23</v>
      </c>
      <c r="C234" t="s">
        <v>13</v>
      </c>
      <c r="D234">
        <v>6.3</v>
      </c>
      <c r="E234">
        <v>2.5</v>
      </c>
      <c r="G234">
        <v>3.7</v>
      </c>
      <c r="H234">
        <v>1.3</v>
      </c>
      <c r="I234">
        <v>7.2</v>
      </c>
      <c r="J234">
        <v>68</v>
      </c>
      <c r="K234">
        <v>2.2999999999999998</v>
      </c>
      <c r="L234">
        <v>6.68</v>
      </c>
      <c r="M234">
        <v>6.88</v>
      </c>
    </row>
    <row r="235" spans="1:13" x14ac:dyDescent="0.2">
      <c r="A235" t="s">
        <v>246</v>
      </c>
      <c r="B235">
        <v>25</v>
      </c>
      <c r="C235" t="s">
        <v>17</v>
      </c>
      <c r="D235">
        <v>5</v>
      </c>
      <c r="E235">
        <v>2</v>
      </c>
      <c r="G235">
        <v>5</v>
      </c>
      <c r="H235">
        <v>1</v>
      </c>
      <c r="I235">
        <v>8.4</v>
      </c>
      <c r="J235">
        <v>87</v>
      </c>
      <c r="K235">
        <v>2.9</v>
      </c>
      <c r="L235">
        <v>8.5399999999999991</v>
      </c>
      <c r="M235">
        <v>8.74</v>
      </c>
    </row>
    <row r="236" spans="1:13" x14ac:dyDescent="0.2">
      <c r="A236" t="s">
        <v>247</v>
      </c>
      <c r="B236">
        <v>20</v>
      </c>
      <c r="C236" t="s">
        <v>13</v>
      </c>
      <c r="D236">
        <v>7.2</v>
      </c>
      <c r="E236">
        <v>2.9</v>
      </c>
      <c r="G236">
        <v>2.8</v>
      </c>
      <c r="H236">
        <v>1.4</v>
      </c>
      <c r="I236">
        <v>6.4</v>
      </c>
      <c r="J236">
        <v>77</v>
      </c>
      <c r="K236">
        <v>2.6</v>
      </c>
      <c r="L236">
        <v>7.59</v>
      </c>
      <c r="M236">
        <v>7.79</v>
      </c>
    </row>
    <row r="237" spans="1:13" x14ac:dyDescent="0.2">
      <c r="A237" t="s">
        <v>248</v>
      </c>
      <c r="B237">
        <v>21</v>
      </c>
      <c r="C237" t="s">
        <v>17</v>
      </c>
      <c r="D237">
        <v>4.8</v>
      </c>
      <c r="E237">
        <v>1.9</v>
      </c>
      <c r="G237">
        <v>5.2</v>
      </c>
      <c r="H237">
        <v>1</v>
      </c>
      <c r="I237">
        <v>8.4</v>
      </c>
      <c r="J237">
        <v>95</v>
      </c>
      <c r="K237">
        <v>3.2</v>
      </c>
      <c r="L237">
        <v>9.34</v>
      </c>
      <c r="M237">
        <v>9.5399999999999991</v>
      </c>
    </row>
    <row r="238" spans="1:13" x14ac:dyDescent="0.2">
      <c r="A238" t="s">
        <v>249</v>
      </c>
      <c r="B238">
        <v>21</v>
      </c>
      <c r="C238" t="s">
        <v>17</v>
      </c>
      <c r="D238">
        <v>6.5</v>
      </c>
      <c r="E238">
        <v>2.6</v>
      </c>
      <c r="G238">
        <v>3.5</v>
      </c>
      <c r="H238">
        <v>1.3</v>
      </c>
      <c r="I238">
        <v>6.6</v>
      </c>
      <c r="J238">
        <v>75</v>
      </c>
      <c r="K238">
        <v>2.5</v>
      </c>
      <c r="L238">
        <v>7.37</v>
      </c>
      <c r="M238">
        <v>7.57</v>
      </c>
    </row>
    <row r="239" spans="1:13" x14ac:dyDescent="0.2">
      <c r="A239" t="s">
        <v>250</v>
      </c>
      <c r="B239">
        <v>19</v>
      </c>
      <c r="C239" t="s">
        <v>13</v>
      </c>
      <c r="D239">
        <v>5.9</v>
      </c>
      <c r="E239">
        <v>2.4</v>
      </c>
      <c r="G239">
        <v>4.0999999999999996</v>
      </c>
      <c r="H239">
        <v>1.2</v>
      </c>
      <c r="I239">
        <v>8.1</v>
      </c>
      <c r="J239">
        <v>84</v>
      </c>
      <c r="K239">
        <v>2.8</v>
      </c>
      <c r="L239">
        <v>8.24</v>
      </c>
      <c r="M239">
        <v>8.44</v>
      </c>
    </row>
    <row r="240" spans="1:13" x14ac:dyDescent="0.2">
      <c r="A240" t="s">
        <v>251</v>
      </c>
      <c r="B240">
        <v>25</v>
      </c>
      <c r="C240" t="s">
        <v>17</v>
      </c>
      <c r="D240">
        <v>9.1999999999999993</v>
      </c>
      <c r="E240">
        <v>3.7</v>
      </c>
      <c r="G240">
        <v>0.8</v>
      </c>
      <c r="H240">
        <v>1.8</v>
      </c>
      <c r="I240">
        <v>5.8</v>
      </c>
      <c r="J240">
        <v>64</v>
      </c>
      <c r="K240">
        <v>2.1</v>
      </c>
      <c r="L240">
        <v>6.2299999999999898</v>
      </c>
      <c r="M240">
        <v>6.43</v>
      </c>
    </row>
    <row r="241" spans="1:13" x14ac:dyDescent="0.2">
      <c r="A241" t="s">
        <v>252</v>
      </c>
      <c r="B241">
        <v>20</v>
      </c>
      <c r="C241" t="s">
        <v>17</v>
      </c>
      <c r="D241">
        <v>4.5</v>
      </c>
      <c r="E241">
        <v>1.8</v>
      </c>
      <c r="G241">
        <v>5.5</v>
      </c>
      <c r="H241">
        <v>0.9</v>
      </c>
      <c r="I241">
        <v>7.7</v>
      </c>
      <c r="J241">
        <v>81</v>
      </c>
      <c r="K241">
        <v>2.7</v>
      </c>
      <c r="L241">
        <v>7.9099999999999904</v>
      </c>
      <c r="M241">
        <v>8.11</v>
      </c>
    </row>
    <row r="242" spans="1:13" x14ac:dyDescent="0.2">
      <c r="A242" t="s">
        <v>253</v>
      </c>
      <c r="B242">
        <v>19</v>
      </c>
      <c r="C242" t="s">
        <v>13</v>
      </c>
      <c r="D242">
        <v>7.8</v>
      </c>
      <c r="E242">
        <v>3.1</v>
      </c>
      <c r="G242">
        <v>2.2000000000000002</v>
      </c>
      <c r="H242">
        <v>1.6</v>
      </c>
      <c r="I242">
        <v>6</v>
      </c>
      <c r="J242">
        <v>69</v>
      </c>
      <c r="K242">
        <v>2.2999999999999998</v>
      </c>
      <c r="L242">
        <v>6.76</v>
      </c>
      <c r="M242">
        <v>6.96</v>
      </c>
    </row>
    <row r="243" spans="1:13" x14ac:dyDescent="0.2">
      <c r="A243" t="s">
        <v>254</v>
      </c>
      <c r="B243">
        <v>20</v>
      </c>
      <c r="C243" t="s">
        <v>13</v>
      </c>
      <c r="D243">
        <v>8.8000000000000007</v>
      </c>
      <c r="E243">
        <v>3.5</v>
      </c>
      <c r="G243">
        <v>1.2</v>
      </c>
      <c r="H243">
        <v>1.8</v>
      </c>
      <c r="I243">
        <v>5.2</v>
      </c>
      <c r="J243">
        <v>61</v>
      </c>
      <c r="K243">
        <v>2</v>
      </c>
      <c r="L243">
        <v>5.93</v>
      </c>
      <c r="M243">
        <v>6.13</v>
      </c>
    </row>
    <row r="244" spans="1:13" x14ac:dyDescent="0.2">
      <c r="A244" t="s">
        <v>255</v>
      </c>
      <c r="B244">
        <v>22</v>
      </c>
      <c r="C244" t="s">
        <v>17</v>
      </c>
      <c r="D244">
        <v>7.4</v>
      </c>
      <c r="E244">
        <v>3</v>
      </c>
      <c r="G244">
        <v>2.6</v>
      </c>
      <c r="H244">
        <v>1.5</v>
      </c>
      <c r="I244">
        <v>6.2</v>
      </c>
      <c r="J244">
        <v>70</v>
      </c>
      <c r="K244">
        <v>2.4</v>
      </c>
      <c r="L244">
        <v>6.87</v>
      </c>
      <c r="M244">
        <v>7.07</v>
      </c>
    </row>
    <row r="245" spans="1:13" x14ac:dyDescent="0.2">
      <c r="A245" t="s">
        <v>256</v>
      </c>
      <c r="B245">
        <v>24</v>
      </c>
      <c r="C245" t="s">
        <v>17</v>
      </c>
      <c r="D245">
        <v>5.6</v>
      </c>
      <c r="E245">
        <v>2.2000000000000002</v>
      </c>
      <c r="G245">
        <v>4.4000000000000004</v>
      </c>
      <c r="H245">
        <v>1.1000000000000001</v>
      </c>
      <c r="I245">
        <v>7.5</v>
      </c>
      <c r="J245">
        <v>94</v>
      </c>
      <c r="K245">
        <v>3.1</v>
      </c>
      <c r="L245">
        <v>9.1999999999999993</v>
      </c>
      <c r="M245">
        <v>9.4</v>
      </c>
    </row>
    <row r="246" spans="1:13" x14ac:dyDescent="0.2">
      <c r="A246" t="s">
        <v>257</v>
      </c>
      <c r="B246">
        <v>25</v>
      </c>
      <c r="C246" t="s">
        <v>17</v>
      </c>
      <c r="D246">
        <v>4.4000000000000004</v>
      </c>
      <c r="E246">
        <v>1.8</v>
      </c>
      <c r="G246">
        <v>5.6</v>
      </c>
      <c r="H246">
        <v>0.9</v>
      </c>
      <c r="I246">
        <v>7.7</v>
      </c>
      <c r="J246">
        <v>85</v>
      </c>
      <c r="K246">
        <v>2.9</v>
      </c>
      <c r="L246">
        <v>8.3800000000000008</v>
      </c>
      <c r="M246">
        <v>8.58</v>
      </c>
    </row>
    <row r="247" spans="1:13" x14ac:dyDescent="0.2">
      <c r="A247" t="s">
        <v>258</v>
      </c>
      <c r="B247">
        <v>24</v>
      </c>
      <c r="C247" t="s">
        <v>17</v>
      </c>
      <c r="D247">
        <v>9.6999999999999993</v>
      </c>
      <c r="E247">
        <v>3.9</v>
      </c>
      <c r="G247">
        <v>0.3</v>
      </c>
      <c r="H247">
        <v>1.9</v>
      </c>
      <c r="I247">
        <v>6.1</v>
      </c>
      <c r="J247">
        <v>66</v>
      </c>
      <c r="K247">
        <v>2.2000000000000002</v>
      </c>
      <c r="L247">
        <v>6.4799999999999898</v>
      </c>
      <c r="M247">
        <v>6.68</v>
      </c>
    </row>
    <row r="248" spans="1:13" x14ac:dyDescent="0.2">
      <c r="A248" t="s">
        <v>259</v>
      </c>
      <c r="B248">
        <v>22</v>
      </c>
      <c r="C248" t="s">
        <v>13</v>
      </c>
      <c r="D248">
        <v>5.5</v>
      </c>
      <c r="E248">
        <v>2.2000000000000002</v>
      </c>
      <c r="G248">
        <v>4.5</v>
      </c>
      <c r="H248">
        <v>1.1000000000000001</v>
      </c>
      <c r="I248">
        <v>7.2</v>
      </c>
      <c r="J248">
        <v>97</v>
      </c>
      <c r="K248">
        <v>3.3</v>
      </c>
      <c r="L248">
        <v>9.57</v>
      </c>
      <c r="M248">
        <v>9.77</v>
      </c>
    </row>
    <row r="249" spans="1:13" x14ac:dyDescent="0.2">
      <c r="A249" t="s">
        <v>260</v>
      </c>
      <c r="B249">
        <v>18</v>
      </c>
      <c r="C249" t="s">
        <v>17</v>
      </c>
      <c r="D249">
        <v>8.1999999999999993</v>
      </c>
      <c r="E249">
        <v>3.3</v>
      </c>
      <c r="G249">
        <v>1.8</v>
      </c>
      <c r="H249">
        <v>1.6</v>
      </c>
      <c r="I249">
        <v>5</v>
      </c>
      <c r="J249">
        <v>62</v>
      </c>
      <c r="K249">
        <v>2.1</v>
      </c>
      <c r="L249">
        <v>6.03</v>
      </c>
      <c r="M249">
        <v>6.23</v>
      </c>
    </row>
    <row r="250" spans="1:13" x14ac:dyDescent="0.2">
      <c r="A250" t="s">
        <v>261</v>
      </c>
      <c r="B250">
        <v>22</v>
      </c>
      <c r="C250" t="s">
        <v>17</v>
      </c>
      <c r="D250">
        <v>4.5</v>
      </c>
      <c r="E250">
        <v>1.8</v>
      </c>
      <c r="G250">
        <v>5.5</v>
      </c>
      <c r="H250">
        <v>0.9</v>
      </c>
      <c r="I250">
        <v>7</v>
      </c>
      <c r="J250">
        <v>85</v>
      </c>
      <c r="K250">
        <v>2.8</v>
      </c>
      <c r="L250">
        <v>8.3000000000000007</v>
      </c>
      <c r="M250">
        <v>8.5</v>
      </c>
    </row>
    <row r="251" spans="1:13" x14ac:dyDescent="0.2">
      <c r="A251" t="s">
        <v>262</v>
      </c>
      <c r="B251">
        <v>18</v>
      </c>
      <c r="C251" t="s">
        <v>13</v>
      </c>
      <c r="D251">
        <v>4.8</v>
      </c>
      <c r="E251">
        <v>1.9</v>
      </c>
      <c r="G251">
        <v>5.2</v>
      </c>
      <c r="H251">
        <v>1</v>
      </c>
      <c r="I251">
        <v>8</v>
      </c>
      <c r="J251">
        <v>89</v>
      </c>
      <c r="K251">
        <v>3</v>
      </c>
      <c r="L251">
        <v>8.74</v>
      </c>
      <c r="M251">
        <v>8.94</v>
      </c>
    </row>
    <row r="252" spans="1:13" x14ac:dyDescent="0.2">
      <c r="A252" t="s">
        <v>263</v>
      </c>
      <c r="B252">
        <v>22</v>
      </c>
      <c r="C252" t="s">
        <v>17</v>
      </c>
      <c r="D252">
        <v>5</v>
      </c>
      <c r="E252">
        <v>2</v>
      </c>
      <c r="G252">
        <v>5</v>
      </c>
      <c r="H252">
        <v>1</v>
      </c>
      <c r="I252">
        <v>8</v>
      </c>
      <c r="J252">
        <v>80</v>
      </c>
      <c r="K252">
        <v>2.7</v>
      </c>
      <c r="L252">
        <v>7.81</v>
      </c>
      <c r="M252">
        <v>8.01</v>
      </c>
    </row>
    <row r="253" spans="1:13" x14ac:dyDescent="0.2">
      <c r="A253" t="s">
        <v>264</v>
      </c>
      <c r="B253">
        <v>24</v>
      </c>
      <c r="C253" t="s">
        <v>13</v>
      </c>
      <c r="D253">
        <v>9.6</v>
      </c>
      <c r="E253">
        <v>3.8</v>
      </c>
      <c r="G253">
        <v>0.4</v>
      </c>
      <c r="H253">
        <v>1.9</v>
      </c>
      <c r="I253">
        <v>5.8</v>
      </c>
      <c r="J253">
        <v>55</v>
      </c>
      <c r="K253">
        <v>1.9</v>
      </c>
      <c r="L253">
        <v>5.37</v>
      </c>
      <c r="M253">
        <v>5.57</v>
      </c>
    </row>
    <row r="254" spans="1:13" x14ac:dyDescent="0.2">
      <c r="A254" t="s">
        <v>265</v>
      </c>
      <c r="B254">
        <v>20</v>
      </c>
      <c r="C254" t="s">
        <v>13</v>
      </c>
      <c r="D254">
        <v>8.3000000000000007</v>
      </c>
      <c r="E254">
        <v>3.3</v>
      </c>
      <c r="G254">
        <v>1.7</v>
      </c>
      <c r="H254">
        <v>1.7</v>
      </c>
      <c r="I254">
        <v>5.5</v>
      </c>
      <c r="J254">
        <v>65</v>
      </c>
      <c r="K254">
        <v>2.2000000000000002</v>
      </c>
      <c r="L254">
        <v>6.34</v>
      </c>
      <c r="M254">
        <v>6.54</v>
      </c>
    </row>
    <row r="255" spans="1:13" x14ac:dyDescent="0.2">
      <c r="A255" t="s">
        <v>266</v>
      </c>
      <c r="B255">
        <v>25</v>
      </c>
      <c r="C255" t="s">
        <v>13</v>
      </c>
      <c r="D255">
        <v>7.3</v>
      </c>
      <c r="E255">
        <v>2.9</v>
      </c>
      <c r="G255">
        <v>2.7</v>
      </c>
      <c r="H255">
        <v>1.5</v>
      </c>
      <c r="I255">
        <v>6.7</v>
      </c>
      <c r="J255">
        <v>77</v>
      </c>
      <c r="K255">
        <v>2.6</v>
      </c>
      <c r="L255">
        <v>7.58</v>
      </c>
      <c r="M255">
        <v>7.78</v>
      </c>
    </row>
    <row r="256" spans="1:13" x14ac:dyDescent="0.2">
      <c r="A256" t="s">
        <v>267</v>
      </c>
      <c r="B256">
        <v>25</v>
      </c>
      <c r="C256" t="s">
        <v>17</v>
      </c>
      <c r="D256">
        <v>8.4</v>
      </c>
      <c r="E256">
        <v>3.4</v>
      </c>
      <c r="G256">
        <v>1.6</v>
      </c>
      <c r="H256">
        <v>1.7</v>
      </c>
      <c r="I256">
        <v>5.0999999999999996</v>
      </c>
      <c r="J256">
        <v>56</v>
      </c>
      <c r="K256">
        <v>1.9</v>
      </c>
      <c r="L256">
        <v>5.41</v>
      </c>
      <c r="M256">
        <v>5.61</v>
      </c>
    </row>
    <row r="257" spans="1:13" x14ac:dyDescent="0.2">
      <c r="A257" t="s">
        <v>268</v>
      </c>
      <c r="B257">
        <v>23</v>
      </c>
      <c r="C257" t="s">
        <v>17</v>
      </c>
      <c r="D257">
        <v>7.7</v>
      </c>
      <c r="E257">
        <v>3.1</v>
      </c>
      <c r="G257">
        <v>2.2999999999999998</v>
      </c>
      <c r="H257">
        <v>1.5</v>
      </c>
      <c r="I257">
        <v>6.7</v>
      </c>
      <c r="J257">
        <v>71</v>
      </c>
      <c r="K257">
        <v>2.4</v>
      </c>
      <c r="L257">
        <v>6.99</v>
      </c>
      <c r="M257">
        <v>7.19</v>
      </c>
    </row>
    <row r="258" spans="1:13" x14ac:dyDescent="0.2">
      <c r="A258" t="s">
        <v>269</v>
      </c>
      <c r="B258">
        <v>19</v>
      </c>
      <c r="C258" t="s">
        <v>13</v>
      </c>
      <c r="D258">
        <v>8</v>
      </c>
      <c r="E258">
        <v>3.2</v>
      </c>
      <c r="G258">
        <v>2</v>
      </c>
      <c r="H258">
        <v>1.6</v>
      </c>
      <c r="I258">
        <v>5.8</v>
      </c>
      <c r="J258">
        <v>61</v>
      </c>
      <c r="K258">
        <v>2.1</v>
      </c>
      <c r="L258">
        <v>5.95</v>
      </c>
      <c r="M258">
        <v>6.15</v>
      </c>
    </row>
    <row r="259" spans="1:13" x14ac:dyDescent="0.2">
      <c r="A259" t="s">
        <v>270</v>
      </c>
      <c r="B259">
        <v>19</v>
      </c>
      <c r="C259" t="s">
        <v>17</v>
      </c>
      <c r="D259">
        <v>6</v>
      </c>
      <c r="E259">
        <v>2.4</v>
      </c>
      <c r="G259">
        <v>4</v>
      </c>
      <c r="H259">
        <v>1.2</v>
      </c>
      <c r="I259">
        <v>6.7</v>
      </c>
      <c r="J259">
        <v>74</v>
      </c>
      <c r="K259">
        <v>2.5</v>
      </c>
      <c r="L259">
        <v>7.25</v>
      </c>
      <c r="M259">
        <v>7.45</v>
      </c>
    </row>
    <row r="260" spans="1:13" x14ac:dyDescent="0.2">
      <c r="A260" t="s">
        <v>271</v>
      </c>
      <c r="B260">
        <v>17</v>
      </c>
      <c r="C260" t="s">
        <v>13</v>
      </c>
      <c r="D260">
        <v>5.3</v>
      </c>
      <c r="E260">
        <v>2.1</v>
      </c>
      <c r="G260">
        <v>4.7</v>
      </c>
      <c r="H260">
        <v>1.1000000000000001</v>
      </c>
      <c r="I260">
        <v>7.3</v>
      </c>
      <c r="J260">
        <v>86</v>
      </c>
      <c r="K260">
        <v>2.9</v>
      </c>
      <c r="L260">
        <v>8.44</v>
      </c>
      <c r="M260">
        <v>8.64</v>
      </c>
    </row>
    <row r="261" spans="1:13" x14ac:dyDescent="0.2">
      <c r="A261" t="s">
        <v>272</v>
      </c>
      <c r="B261">
        <v>20</v>
      </c>
      <c r="C261" t="s">
        <v>13</v>
      </c>
      <c r="D261">
        <v>9.8000000000000007</v>
      </c>
      <c r="E261">
        <v>3.9</v>
      </c>
      <c r="G261">
        <v>0.2</v>
      </c>
      <c r="H261">
        <v>2</v>
      </c>
      <c r="I261">
        <v>6.3</v>
      </c>
      <c r="J261">
        <v>60</v>
      </c>
      <c r="K261">
        <v>2</v>
      </c>
      <c r="L261">
        <v>5.84</v>
      </c>
      <c r="M261">
        <v>6.04</v>
      </c>
    </row>
    <row r="262" spans="1:13" x14ac:dyDescent="0.2">
      <c r="A262" t="s">
        <v>273</v>
      </c>
      <c r="B262">
        <v>19</v>
      </c>
      <c r="C262" t="s">
        <v>13</v>
      </c>
      <c r="D262">
        <v>6.2</v>
      </c>
      <c r="E262">
        <v>2.5</v>
      </c>
      <c r="G262">
        <v>3.8</v>
      </c>
      <c r="H262">
        <v>1.2</v>
      </c>
      <c r="I262">
        <v>6.1</v>
      </c>
      <c r="J262">
        <v>79</v>
      </c>
      <c r="K262">
        <v>2.7</v>
      </c>
      <c r="L262">
        <v>7.79</v>
      </c>
      <c r="M262">
        <v>7.99</v>
      </c>
    </row>
    <row r="263" spans="1:13" x14ac:dyDescent="0.2">
      <c r="A263" t="s">
        <v>274</v>
      </c>
      <c r="B263">
        <v>18</v>
      </c>
      <c r="C263" t="s">
        <v>17</v>
      </c>
      <c r="D263">
        <v>7.5</v>
      </c>
      <c r="E263">
        <v>3</v>
      </c>
      <c r="G263">
        <v>2.5</v>
      </c>
      <c r="H263">
        <v>1.5</v>
      </c>
      <c r="I263">
        <v>6.6</v>
      </c>
      <c r="J263">
        <v>68</v>
      </c>
      <c r="K263">
        <v>2.2999999999999998</v>
      </c>
      <c r="L263">
        <v>6.64</v>
      </c>
      <c r="M263">
        <v>6.84</v>
      </c>
    </row>
    <row r="264" spans="1:13" x14ac:dyDescent="0.2">
      <c r="A264" t="s">
        <v>275</v>
      </c>
      <c r="B264">
        <v>22</v>
      </c>
      <c r="C264" t="s">
        <v>17</v>
      </c>
      <c r="D264">
        <v>9.4</v>
      </c>
      <c r="E264">
        <v>3.8</v>
      </c>
      <c r="G264">
        <v>0.6</v>
      </c>
      <c r="H264">
        <v>1.9</v>
      </c>
      <c r="I264">
        <v>5.4</v>
      </c>
      <c r="J264">
        <v>60</v>
      </c>
      <c r="K264">
        <v>2</v>
      </c>
      <c r="L264">
        <v>5.85</v>
      </c>
      <c r="M264">
        <v>6.05</v>
      </c>
    </row>
    <row r="265" spans="1:13" x14ac:dyDescent="0.2">
      <c r="A265" t="s">
        <v>276</v>
      </c>
      <c r="B265">
        <v>19</v>
      </c>
      <c r="C265" t="s">
        <v>13</v>
      </c>
      <c r="D265">
        <v>5.3</v>
      </c>
      <c r="E265">
        <v>2.1</v>
      </c>
      <c r="G265">
        <v>4.7</v>
      </c>
      <c r="H265">
        <v>1.1000000000000001</v>
      </c>
      <c r="I265">
        <v>7.9</v>
      </c>
      <c r="J265">
        <v>90</v>
      </c>
      <c r="K265">
        <v>3</v>
      </c>
      <c r="L265">
        <v>8.85</v>
      </c>
      <c r="M265">
        <v>9.0500000000000007</v>
      </c>
    </row>
    <row r="266" spans="1:13" x14ac:dyDescent="0.2">
      <c r="A266" t="s">
        <v>277</v>
      </c>
      <c r="B266">
        <v>23</v>
      </c>
      <c r="C266" t="s">
        <v>17</v>
      </c>
      <c r="D266">
        <v>8.3000000000000007</v>
      </c>
      <c r="E266">
        <v>3.3</v>
      </c>
      <c r="G266">
        <v>1.7</v>
      </c>
      <c r="H266">
        <v>1.7</v>
      </c>
      <c r="I266">
        <v>5.3</v>
      </c>
      <c r="J266">
        <v>66</v>
      </c>
      <c r="K266">
        <v>2.2000000000000002</v>
      </c>
      <c r="L266">
        <v>6.4799999999999898</v>
      </c>
      <c r="M266">
        <v>6.68</v>
      </c>
    </row>
    <row r="267" spans="1:13" x14ac:dyDescent="0.2">
      <c r="A267" t="s">
        <v>278</v>
      </c>
      <c r="B267">
        <v>23</v>
      </c>
      <c r="C267" t="s">
        <v>17</v>
      </c>
      <c r="D267">
        <v>9.1</v>
      </c>
      <c r="E267">
        <v>3.6</v>
      </c>
      <c r="G267">
        <v>0.9</v>
      </c>
      <c r="H267">
        <v>1.8</v>
      </c>
      <c r="I267">
        <v>5.4</v>
      </c>
      <c r="J267">
        <v>61</v>
      </c>
      <c r="K267">
        <v>2</v>
      </c>
      <c r="L267">
        <v>5.9399999999999897</v>
      </c>
      <c r="M267">
        <v>6.14</v>
      </c>
    </row>
    <row r="268" spans="1:13" x14ac:dyDescent="0.2">
      <c r="A268" t="s">
        <v>279</v>
      </c>
      <c r="B268">
        <v>25</v>
      </c>
      <c r="C268" t="s">
        <v>13</v>
      </c>
      <c r="D268">
        <v>8</v>
      </c>
      <c r="E268">
        <v>3.2</v>
      </c>
      <c r="G268">
        <v>2</v>
      </c>
      <c r="H268">
        <v>1.6</v>
      </c>
      <c r="I268">
        <v>6</v>
      </c>
      <c r="J268">
        <v>56</v>
      </c>
      <c r="K268">
        <v>1.9</v>
      </c>
      <c r="L268">
        <v>5.42</v>
      </c>
      <c r="M268">
        <v>5.62</v>
      </c>
    </row>
    <row r="269" spans="1:13" x14ac:dyDescent="0.2">
      <c r="A269" t="s">
        <v>280</v>
      </c>
      <c r="B269">
        <v>24</v>
      </c>
      <c r="C269" t="s">
        <v>13</v>
      </c>
      <c r="D269">
        <v>5.5</v>
      </c>
      <c r="E269">
        <v>2.2000000000000002</v>
      </c>
      <c r="G269">
        <v>4.5</v>
      </c>
      <c r="H269">
        <v>1.1000000000000001</v>
      </c>
      <c r="I269">
        <v>7.5</v>
      </c>
      <c r="J269">
        <v>91</v>
      </c>
      <c r="K269">
        <v>3</v>
      </c>
      <c r="L269">
        <v>8.91</v>
      </c>
      <c r="M269">
        <v>9.11</v>
      </c>
    </row>
    <row r="270" spans="1:13" x14ac:dyDescent="0.2">
      <c r="A270" t="s">
        <v>281</v>
      </c>
      <c r="B270">
        <v>22</v>
      </c>
      <c r="C270" t="s">
        <v>13</v>
      </c>
      <c r="D270">
        <v>9.8000000000000007</v>
      </c>
      <c r="E270">
        <v>3.9</v>
      </c>
      <c r="G270">
        <v>0.2</v>
      </c>
      <c r="H270">
        <v>2</v>
      </c>
      <c r="I270">
        <v>5.4</v>
      </c>
      <c r="J270">
        <v>60</v>
      </c>
      <c r="K270">
        <v>2</v>
      </c>
      <c r="L270">
        <v>5.89</v>
      </c>
      <c r="M270">
        <v>6.09</v>
      </c>
    </row>
    <row r="271" spans="1:13" x14ac:dyDescent="0.2">
      <c r="A271" t="s">
        <v>282</v>
      </c>
      <c r="B271">
        <v>17</v>
      </c>
      <c r="C271" t="s">
        <v>17</v>
      </c>
      <c r="D271">
        <v>6</v>
      </c>
      <c r="E271">
        <v>2.4</v>
      </c>
      <c r="G271">
        <v>4</v>
      </c>
      <c r="H271">
        <v>1.2</v>
      </c>
      <c r="I271">
        <v>7</v>
      </c>
      <c r="J271">
        <v>73</v>
      </c>
      <c r="K271">
        <v>2.4</v>
      </c>
      <c r="L271">
        <v>7.14</v>
      </c>
      <c r="M271">
        <v>7.34</v>
      </c>
    </row>
    <row r="272" spans="1:13" x14ac:dyDescent="0.2">
      <c r="A272" t="s">
        <v>283</v>
      </c>
      <c r="B272">
        <v>20</v>
      </c>
      <c r="C272" t="s">
        <v>13</v>
      </c>
      <c r="D272">
        <v>5.5</v>
      </c>
      <c r="E272">
        <v>2.2000000000000002</v>
      </c>
      <c r="G272">
        <v>4.5</v>
      </c>
      <c r="H272">
        <v>1.1000000000000001</v>
      </c>
      <c r="I272">
        <v>8.1</v>
      </c>
      <c r="J272">
        <v>90</v>
      </c>
      <c r="K272">
        <v>3</v>
      </c>
      <c r="L272">
        <v>8.83</v>
      </c>
      <c r="M272">
        <v>9.0299999999999994</v>
      </c>
    </row>
    <row r="273" spans="1:13" x14ac:dyDescent="0.2">
      <c r="A273" t="s">
        <v>284</v>
      </c>
      <c r="B273">
        <v>17</v>
      </c>
      <c r="C273" t="s">
        <v>17</v>
      </c>
      <c r="D273">
        <v>4.2</v>
      </c>
      <c r="E273">
        <v>1.7</v>
      </c>
      <c r="G273">
        <v>5.8</v>
      </c>
      <c r="H273">
        <v>0.8</v>
      </c>
      <c r="I273">
        <v>8</v>
      </c>
      <c r="J273">
        <v>92</v>
      </c>
      <c r="K273">
        <v>3.1</v>
      </c>
      <c r="L273">
        <v>9.07</v>
      </c>
      <c r="M273">
        <v>9.27</v>
      </c>
    </row>
    <row r="274" spans="1:13" x14ac:dyDescent="0.2">
      <c r="A274" t="s">
        <v>285</v>
      </c>
      <c r="B274">
        <v>20</v>
      </c>
      <c r="C274" t="s">
        <v>13</v>
      </c>
      <c r="D274">
        <v>8.1999999999999993</v>
      </c>
      <c r="E274">
        <v>3.3</v>
      </c>
      <c r="G274">
        <v>1.8</v>
      </c>
      <c r="H274">
        <v>1.6</v>
      </c>
      <c r="I274">
        <v>6.3</v>
      </c>
      <c r="J274">
        <v>60</v>
      </c>
      <c r="K274">
        <v>2</v>
      </c>
      <c r="L274">
        <v>5.88</v>
      </c>
      <c r="M274">
        <v>6.08</v>
      </c>
    </row>
    <row r="275" spans="1:13" x14ac:dyDescent="0.2">
      <c r="A275" t="s">
        <v>286</v>
      </c>
      <c r="B275">
        <v>17</v>
      </c>
      <c r="C275" t="s">
        <v>17</v>
      </c>
      <c r="D275">
        <v>9.9</v>
      </c>
      <c r="E275">
        <v>4</v>
      </c>
      <c r="G275">
        <v>0.1</v>
      </c>
      <c r="H275">
        <v>2</v>
      </c>
      <c r="I275">
        <v>5.3</v>
      </c>
      <c r="J275">
        <v>56</v>
      </c>
      <c r="K275">
        <v>1.9</v>
      </c>
      <c r="L275">
        <v>5.46</v>
      </c>
      <c r="M275">
        <v>5.66</v>
      </c>
    </row>
    <row r="276" spans="1:13" x14ac:dyDescent="0.2">
      <c r="A276" t="s">
        <v>287</v>
      </c>
      <c r="B276">
        <v>17</v>
      </c>
      <c r="C276" t="s">
        <v>17</v>
      </c>
      <c r="D276">
        <v>5.3</v>
      </c>
      <c r="E276">
        <v>2.1</v>
      </c>
      <c r="G276">
        <v>4.7</v>
      </c>
      <c r="H276">
        <v>1.1000000000000001</v>
      </c>
      <c r="I276">
        <v>7.1</v>
      </c>
      <c r="J276">
        <v>81</v>
      </c>
      <c r="K276">
        <v>2.7</v>
      </c>
      <c r="L276">
        <v>7.96</v>
      </c>
      <c r="M276">
        <v>8.16</v>
      </c>
    </row>
    <row r="277" spans="1:13" x14ac:dyDescent="0.2">
      <c r="A277" t="s">
        <v>288</v>
      </c>
      <c r="B277">
        <v>18</v>
      </c>
      <c r="C277" t="s">
        <v>17</v>
      </c>
      <c r="D277">
        <v>4.2</v>
      </c>
      <c r="E277">
        <v>1.7</v>
      </c>
      <c r="G277">
        <v>5.8</v>
      </c>
      <c r="H277">
        <v>0.8</v>
      </c>
      <c r="I277">
        <v>8.5</v>
      </c>
      <c r="J277">
        <v>81</v>
      </c>
      <c r="K277">
        <v>2.7</v>
      </c>
      <c r="L277">
        <v>7.8999999999999897</v>
      </c>
      <c r="M277">
        <v>8.1</v>
      </c>
    </row>
    <row r="278" spans="1:13" x14ac:dyDescent="0.2">
      <c r="A278" t="s">
        <v>289</v>
      </c>
      <c r="B278">
        <v>23</v>
      </c>
      <c r="C278" t="s">
        <v>13</v>
      </c>
      <c r="D278">
        <v>7.8</v>
      </c>
      <c r="E278">
        <v>3.1</v>
      </c>
      <c r="G278">
        <v>2.2000000000000002</v>
      </c>
      <c r="H278">
        <v>1.6</v>
      </c>
      <c r="I278">
        <v>6.7</v>
      </c>
      <c r="J278">
        <v>78</v>
      </c>
      <c r="K278">
        <v>2.6</v>
      </c>
      <c r="L278">
        <v>7.64</v>
      </c>
      <c r="M278">
        <v>7.84</v>
      </c>
    </row>
    <row r="279" spans="1:13" x14ac:dyDescent="0.2">
      <c r="A279" t="s">
        <v>290</v>
      </c>
      <c r="B279">
        <v>18</v>
      </c>
      <c r="C279" t="s">
        <v>13</v>
      </c>
      <c r="D279">
        <v>7.2</v>
      </c>
      <c r="E279">
        <v>2.9</v>
      </c>
      <c r="G279">
        <v>2.8</v>
      </c>
      <c r="H279">
        <v>1.4</v>
      </c>
      <c r="I279">
        <v>6.2</v>
      </c>
      <c r="J279">
        <v>69</v>
      </c>
      <c r="K279">
        <v>2.2999999999999998</v>
      </c>
      <c r="L279">
        <v>6.75</v>
      </c>
      <c r="M279">
        <v>6.95</v>
      </c>
    </row>
    <row r="280" spans="1:13" x14ac:dyDescent="0.2">
      <c r="A280" t="s">
        <v>291</v>
      </c>
      <c r="B280">
        <v>24</v>
      </c>
      <c r="C280" t="s">
        <v>17</v>
      </c>
      <c r="D280">
        <v>8.4</v>
      </c>
      <c r="E280">
        <v>3.4</v>
      </c>
      <c r="G280">
        <v>1.6</v>
      </c>
      <c r="H280">
        <v>1.7</v>
      </c>
      <c r="I280">
        <v>5.3</v>
      </c>
      <c r="J280">
        <v>57</v>
      </c>
      <c r="K280">
        <v>1.9</v>
      </c>
      <c r="L280">
        <v>5.51</v>
      </c>
      <c r="M280">
        <v>5.71</v>
      </c>
    </row>
    <row r="281" spans="1:13" x14ac:dyDescent="0.2">
      <c r="A281" t="s">
        <v>292</v>
      </c>
      <c r="B281">
        <v>17</v>
      </c>
      <c r="C281" t="s">
        <v>17</v>
      </c>
      <c r="D281">
        <v>6.7</v>
      </c>
      <c r="E281">
        <v>2.7</v>
      </c>
      <c r="G281">
        <v>3.3</v>
      </c>
      <c r="H281">
        <v>1.3</v>
      </c>
      <c r="I281">
        <v>6.3</v>
      </c>
      <c r="J281">
        <v>78</v>
      </c>
      <c r="K281">
        <v>2.6</v>
      </c>
      <c r="L281">
        <v>7.64</v>
      </c>
      <c r="M281">
        <v>7.84</v>
      </c>
    </row>
    <row r="282" spans="1:13" x14ac:dyDescent="0.2">
      <c r="A282" t="s">
        <v>293</v>
      </c>
      <c r="B282">
        <v>17</v>
      </c>
      <c r="C282" t="s">
        <v>13</v>
      </c>
      <c r="D282">
        <v>9.9</v>
      </c>
      <c r="E282">
        <v>4</v>
      </c>
      <c r="G282">
        <v>0.1</v>
      </c>
      <c r="H282">
        <v>2</v>
      </c>
      <c r="I282">
        <v>5</v>
      </c>
      <c r="J282">
        <v>59</v>
      </c>
      <c r="K282">
        <v>2</v>
      </c>
      <c r="L282">
        <v>5.79</v>
      </c>
      <c r="M282">
        <v>5.99</v>
      </c>
    </row>
    <row r="283" spans="1:13" x14ac:dyDescent="0.2">
      <c r="A283" t="s">
        <v>294</v>
      </c>
      <c r="B283">
        <v>25</v>
      </c>
      <c r="C283" t="s">
        <v>13</v>
      </c>
      <c r="D283">
        <v>9.1999999999999993</v>
      </c>
      <c r="E283">
        <v>3.7</v>
      </c>
      <c r="G283">
        <v>0.8</v>
      </c>
      <c r="H283">
        <v>1.8</v>
      </c>
      <c r="I283">
        <v>5</v>
      </c>
      <c r="J283">
        <v>62</v>
      </c>
      <c r="K283">
        <v>2.1</v>
      </c>
      <c r="L283">
        <v>6.04</v>
      </c>
      <c r="M283">
        <v>6.24</v>
      </c>
    </row>
    <row r="284" spans="1:13" x14ac:dyDescent="0.2">
      <c r="A284" t="s">
        <v>295</v>
      </c>
      <c r="B284">
        <v>21</v>
      </c>
      <c r="C284" t="s">
        <v>17</v>
      </c>
      <c r="D284">
        <v>9.5</v>
      </c>
      <c r="E284">
        <v>3.8</v>
      </c>
      <c r="G284">
        <v>0.5</v>
      </c>
      <c r="H284">
        <v>1.9</v>
      </c>
      <c r="I284">
        <v>6.4</v>
      </c>
      <c r="J284">
        <v>62</v>
      </c>
      <c r="K284">
        <v>2.1</v>
      </c>
      <c r="L284">
        <v>6.08</v>
      </c>
      <c r="M284">
        <v>6.28</v>
      </c>
    </row>
    <row r="285" spans="1:13" x14ac:dyDescent="0.2">
      <c r="A285" t="s">
        <v>296</v>
      </c>
      <c r="B285">
        <v>25</v>
      </c>
      <c r="C285" t="s">
        <v>17</v>
      </c>
      <c r="D285">
        <v>4.5999999999999996</v>
      </c>
      <c r="E285">
        <v>1.8</v>
      </c>
      <c r="G285">
        <v>5.4</v>
      </c>
      <c r="H285">
        <v>0.9</v>
      </c>
      <c r="I285">
        <v>8.5</v>
      </c>
      <c r="J285">
        <v>91</v>
      </c>
      <c r="K285">
        <v>3</v>
      </c>
      <c r="L285">
        <v>8.92</v>
      </c>
      <c r="M285">
        <v>9.1199999999999992</v>
      </c>
    </row>
    <row r="286" spans="1:13" x14ac:dyDescent="0.2">
      <c r="A286" t="s">
        <v>297</v>
      </c>
      <c r="B286">
        <v>20</v>
      </c>
      <c r="C286" t="s">
        <v>13</v>
      </c>
      <c r="D286">
        <v>6.4</v>
      </c>
      <c r="E286">
        <v>2.6</v>
      </c>
      <c r="G286">
        <v>3.6</v>
      </c>
      <c r="H286">
        <v>1.3</v>
      </c>
      <c r="I286">
        <v>7.2</v>
      </c>
      <c r="J286">
        <v>78</v>
      </c>
      <c r="K286">
        <v>2.6</v>
      </c>
      <c r="L286">
        <v>7.64</v>
      </c>
      <c r="M286">
        <v>7.84</v>
      </c>
    </row>
    <row r="287" spans="1:13" x14ac:dyDescent="0.2">
      <c r="A287" t="s">
        <v>298</v>
      </c>
      <c r="B287">
        <v>18</v>
      </c>
      <c r="C287" t="s">
        <v>13</v>
      </c>
      <c r="D287">
        <v>6.4</v>
      </c>
      <c r="E287">
        <v>2.6</v>
      </c>
      <c r="G287">
        <v>3.6</v>
      </c>
      <c r="H287">
        <v>1.3</v>
      </c>
      <c r="I287">
        <v>7</v>
      </c>
      <c r="J287">
        <v>71</v>
      </c>
      <c r="K287">
        <v>2.4</v>
      </c>
      <c r="L287">
        <v>6.99</v>
      </c>
      <c r="M287">
        <v>7.19</v>
      </c>
    </row>
    <row r="288" spans="1:13" x14ac:dyDescent="0.2">
      <c r="A288" t="s">
        <v>299</v>
      </c>
      <c r="B288">
        <v>24</v>
      </c>
      <c r="C288" t="s">
        <v>13</v>
      </c>
      <c r="D288">
        <v>9.3000000000000007</v>
      </c>
      <c r="E288">
        <v>3.7</v>
      </c>
      <c r="G288">
        <v>0.7</v>
      </c>
      <c r="H288">
        <v>1.9</v>
      </c>
      <c r="I288">
        <v>6.3</v>
      </c>
      <c r="J288">
        <v>59</v>
      </c>
      <c r="K288">
        <v>2</v>
      </c>
      <c r="L288">
        <v>5.71</v>
      </c>
      <c r="M288">
        <v>5.91</v>
      </c>
    </row>
    <row r="289" spans="1:13" x14ac:dyDescent="0.2">
      <c r="A289" t="s">
        <v>300</v>
      </c>
      <c r="B289">
        <v>23</v>
      </c>
      <c r="C289" t="s">
        <v>17</v>
      </c>
      <c r="D289">
        <v>7.3</v>
      </c>
      <c r="E289">
        <v>2.9</v>
      </c>
      <c r="G289">
        <v>2.7</v>
      </c>
      <c r="H289">
        <v>1.5</v>
      </c>
      <c r="I289">
        <v>6.5</v>
      </c>
      <c r="J289">
        <v>68</v>
      </c>
      <c r="K289">
        <v>2.2999999999999998</v>
      </c>
      <c r="L289">
        <v>6.6099999999999897</v>
      </c>
      <c r="M289">
        <v>6.81</v>
      </c>
    </row>
    <row r="290" spans="1:13" x14ac:dyDescent="0.2">
      <c r="A290" t="s">
        <v>301</v>
      </c>
      <c r="B290">
        <v>17</v>
      </c>
      <c r="C290" t="s">
        <v>17</v>
      </c>
      <c r="D290">
        <v>8.1999999999999993</v>
      </c>
      <c r="E290">
        <v>3.3</v>
      </c>
      <c r="G290">
        <v>1.8</v>
      </c>
      <c r="H290">
        <v>1.6</v>
      </c>
      <c r="I290">
        <v>5.7</v>
      </c>
      <c r="J290">
        <v>60</v>
      </c>
      <c r="K290">
        <v>2</v>
      </c>
      <c r="L290">
        <v>5.81</v>
      </c>
      <c r="M290">
        <v>6.01</v>
      </c>
    </row>
    <row r="291" spans="1:13" x14ac:dyDescent="0.2">
      <c r="A291" t="s">
        <v>302</v>
      </c>
      <c r="B291">
        <v>18</v>
      </c>
      <c r="C291" t="s">
        <v>13</v>
      </c>
      <c r="D291">
        <v>5.4</v>
      </c>
      <c r="E291">
        <v>2.2000000000000002</v>
      </c>
      <c r="G291">
        <v>4.5999999999999996</v>
      </c>
      <c r="H291">
        <v>1.1000000000000001</v>
      </c>
      <c r="I291">
        <v>7.9</v>
      </c>
      <c r="J291">
        <v>79</v>
      </c>
      <c r="K291">
        <v>2.6</v>
      </c>
      <c r="L291">
        <v>7.75</v>
      </c>
      <c r="M291">
        <v>7.95</v>
      </c>
    </row>
    <row r="292" spans="1:13" x14ac:dyDescent="0.2">
      <c r="A292" t="s">
        <v>303</v>
      </c>
      <c r="B292">
        <v>22</v>
      </c>
      <c r="C292" t="s">
        <v>13</v>
      </c>
      <c r="D292">
        <v>7</v>
      </c>
      <c r="E292">
        <v>2.8</v>
      </c>
      <c r="G292">
        <v>3</v>
      </c>
      <c r="H292">
        <v>1.4</v>
      </c>
      <c r="I292">
        <v>7.4</v>
      </c>
      <c r="J292">
        <v>74</v>
      </c>
      <c r="K292">
        <v>2.5</v>
      </c>
      <c r="L292">
        <v>7.25</v>
      </c>
      <c r="M292">
        <v>7.45</v>
      </c>
    </row>
    <row r="293" spans="1:13" x14ac:dyDescent="0.2">
      <c r="A293" t="s">
        <v>304</v>
      </c>
      <c r="B293">
        <v>21</v>
      </c>
      <c r="C293" t="s">
        <v>17</v>
      </c>
      <c r="D293">
        <v>4.2</v>
      </c>
      <c r="E293">
        <v>1.7</v>
      </c>
      <c r="G293">
        <v>5.8</v>
      </c>
      <c r="H293">
        <v>0.8</v>
      </c>
      <c r="I293">
        <v>7.6</v>
      </c>
      <c r="J293">
        <v>84</v>
      </c>
      <c r="K293">
        <v>2.8</v>
      </c>
      <c r="L293">
        <v>8.2799999999999994</v>
      </c>
      <c r="M293">
        <v>8.48</v>
      </c>
    </row>
    <row r="294" spans="1:13" x14ac:dyDescent="0.2">
      <c r="A294" t="s">
        <v>305</v>
      </c>
      <c r="B294">
        <v>18</v>
      </c>
      <c r="C294" t="s">
        <v>13</v>
      </c>
      <c r="D294">
        <v>7.2</v>
      </c>
      <c r="E294">
        <v>2.9</v>
      </c>
      <c r="G294">
        <v>2.8</v>
      </c>
      <c r="H294">
        <v>1.4</v>
      </c>
      <c r="I294">
        <v>7.1</v>
      </c>
      <c r="J294">
        <v>75</v>
      </c>
      <c r="K294">
        <v>2.5</v>
      </c>
      <c r="L294">
        <v>7.33</v>
      </c>
      <c r="M294">
        <v>7.53</v>
      </c>
    </row>
    <row r="295" spans="1:13" x14ac:dyDescent="0.2">
      <c r="A295" t="s">
        <v>306</v>
      </c>
      <c r="B295">
        <v>21</v>
      </c>
      <c r="C295" t="s">
        <v>13</v>
      </c>
      <c r="D295">
        <v>9.6999999999999993</v>
      </c>
      <c r="E295">
        <v>3.9</v>
      </c>
      <c r="G295">
        <v>0.3</v>
      </c>
      <c r="H295">
        <v>1.9</v>
      </c>
      <c r="I295">
        <v>5.3</v>
      </c>
      <c r="J295">
        <v>55</v>
      </c>
      <c r="K295">
        <v>1.8</v>
      </c>
      <c r="L295">
        <v>5.3199999999999896</v>
      </c>
      <c r="M295">
        <v>5.52</v>
      </c>
    </row>
    <row r="296" spans="1:13" x14ac:dyDescent="0.2">
      <c r="A296" t="s">
        <v>307</v>
      </c>
      <c r="B296">
        <v>21</v>
      </c>
      <c r="C296" t="s">
        <v>17</v>
      </c>
      <c r="D296">
        <v>9.6999999999999993</v>
      </c>
      <c r="E296">
        <v>3.9</v>
      </c>
      <c r="G296">
        <v>0.3</v>
      </c>
      <c r="H296">
        <v>1.9</v>
      </c>
      <c r="I296">
        <v>5.6</v>
      </c>
      <c r="J296">
        <v>63</v>
      </c>
      <c r="K296">
        <v>2.1</v>
      </c>
      <c r="L296">
        <v>6.1499999999999897</v>
      </c>
      <c r="M296">
        <v>6.35</v>
      </c>
    </row>
    <row r="297" spans="1:13" x14ac:dyDescent="0.2">
      <c r="A297" t="s">
        <v>308</v>
      </c>
      <c r="B297">
        <v>20</v>
      </c>
      <c r="C297" t="s">
        <v>13</v>
      </c>
      <c r="D297">
        <v>6.1</v>
      </c>
      <c r="E297">
        <v>2.4</v>
      </c>
      <c r="G297">
        <v>3.9</v>
      </c>
      <c r="H297">
        <v>1.2</v>
      </c>
      <c r="I297">
        <v>6.7</v>
      </c>
      <c r="J297">
        <v>69</v>
      </c>
      <c r="K297">
        <v>2.2999999999999998</v>
      </c>
      <c r="L297">
        <v>6.72</v>
      </c>
      <c r="M297">
        <v>6.92</v>
      </c>
    </row>
    <row r="298" spans="1:13" x14ac:dyDescent="0.2">
      <c r="A298" t="s">
        <v>309</v>
      </c>
      <c r="B298">
        <v>20</v>
      </c>
      <c r="C298" t="s">
        <v>13</v>
      </c>
      <c r="D298">
        <v>5.8</v>
      </c>
      <c r="E298">
        <v>2.2999999999999998</v>
      </c>
      <c r="G298">
        <v>4.2</v>
      </c>
      <c r="H298">
        <v>1.2</v>
      </c>
      <c r="I298">
        <v>7.8</v>
      </c>
      <c r="J298">
        <v>94</v>
      </c>
      <c r="K298">
        <v>3.1</v>
      </c>
      <c r="L298">
        <v>9.2100000000000009</v>
      </c>
      <c r="M298">
        <v>9.41</v>
      </c>
    </row>
    <row r="299" spans="1:13" x14ac:dyDescent="0.2">
      <c r="A299" t="s">
        <v>310</v>
      </c>
      <c r="B299">
        <v>23</v>
      </c>
      <c r="C299" t="s">
        <v>17</v>
      </c>
      <c r="D299">
        <v>8.3000000000000007</v>
      </c>
      <c r="E299">
        <v>3.3</v>
      </c>
      <c r="G299">
        <v>1.7</v>
      </c>
      <c r="H299">
        <v>1.7</v>
      </c>
      <c r="I299">
        <v>5.6</v>
      </c>
      <c r="J299">
        <v>58</v>
      </c>
      <c r="K299">
        <v>2</v>
      </c>
      <c r="L299">
        <v>5.6499999999999897</v>
      </c>
      <c r="M299">
        <v>5.85</v>
      </c>
    </row>
    <row r="300" spans="1:13" x14ac:dyDescent="0.2">
      <c r="A300" t="s">
        <v>311</v>
      </c>
      <c r="B300">
        <v>17</v>
      </c>
      <c r="C300" t="s">
        <v>13</v>
      </c>
      <c r="D300">
        <v>9.1999999999999993</v>
      </c>
      <c r="E300">
        <v>3.7</v>
      </c>
      <c r="G300">
        <v>0.8</v>
      </c>
      <c r="H300">
        <v>1.8</v>
      </c>
      <c r="I300">
        <v>5.3</v>
      </c>
      <c r="J300">
        <v>65</v>
      </c>
      <c r="K300">
        <v>2.2000000000000002</v>
      </c>
      <c r="L300">
        <v>6.34</v>
      </c>
      <c r="M300">
        <v>6.54</v>
      </c>
    </row>
    <row r="301" spans="1:13" x14ac:dyDescent="0.2">
      <c r="A301" t="s">
        <v>312</v>
      </c>
      <c r="B301">
        <v>23</v>
      </c>
      <c r="C301" t="s">
        <v>13</v>
      </c>
      <c r="D301">
        <v>5.0999999999999996</v>
      </c>
      <c r="E301">
        <v>2</v>
      </c>
      <c r="G301">
        <v>4.9000000000000004</v>
      </c>
      <c r="H301">
        <v>1</v>
      </c>
      <c r="I301">
        <v>7.6</v>
      </c>
      <c r="J301">
        <v>96</v>
      </c>
      <c r="K301">
        <v>3.2</v>
      </c>
      <c r="L301">
        <v>9.44</v>
      </c>
      <c r="M301">
        <v>9.64</v>
      </c>
    </row>
    <row r="302" spans="1:13" x14ac:dyDescent="0.2">
      <c r="A302" t="s">
        <v>313</v>
      </c>
      <c r="B302">
        <v>22</v>
      </c>
      <c r="C302" t="s">
        <v>13</v>
      </c>
      <c r="D302">
        <v>7.3</v>
      </c>
      <c r="E302">
        <v>2.9</v>
      </c>
      <c r="G302">
        <v>2.7</v>
      </c>
      <c r="H302">
        <v>1.5</v>
      </c>
      <c r="I302">
        <v>6.9</v>
      </c>
      <c r="J302">
        <v>68</v>
      </c>
      <c r="K302">
        <v>2.2999999999999998</v>
      </c>
      <c r="L302">
        <v>6.6499999999999897</v>
      </c>
      <c r="M302">
        <v>6.85</v>
      </c>
    </row>
    <row r="303" spans="1:13" x14ac:dyDescent="0.2">
      <c r="A303" t="s">
        <v>314</v>
      </c>
      <c r="B303">
        <v>24</v>
      </c>
      <c r="C303" t="s">
        <v>13</v>
      </c>
      <c r="D303">
        <v>7.1</v>
      </c>
      <c r="E303">
        <v>2.8</v>
      </c>
      <c r="G303">
        <v>2.9</v>
      </c>
      <c r="H303">
        <v>1.4</v>
      </c>
      <c r="I303">
        <v>7.2</v>
      </c>
      <c r="J303">
        <v>75</v>
      </c>
      <c r="K303">
        <v>2.5</v>
      </c>
      <c r="L303">
        <v>7.31</v>
      </c>
      <c r="M303">
        <v>7.51</v>
      </c>
    </row>
    <row r="304" spans="1:13" x14ac:dyDescent="0.2">
      <c r="A304" t="s">
        <v>315</v>
      </c>
      <c r="B304">
        <v>21</v>
      </c>
      <c r="C304" t="s">
        <v>13</v>
      </c>
      <c r="D304">
        <v>6.2</v>
      </c>
      <c r="E304">
        <v>2.5</v>
      </c>
      <c r="G304">
        <v>3.8</v>
      </c>
      <c r="H304">
        <v>1.2</v>
      </c>
      <c r="I304">
        <v>7.2</v>
      </c>
      <c r="J304">
        <v>78</v>
      </c>
      <c r="K304">
        <v>2.6</v>
      </c>
      <c r="L304">
        <v>7.6899999999999897</v>
      </c>
      <c r="M304">
        <v>7.89</v>
      </c>
    </row>
    <row r="305" spans="1:13" x14ac:dyDescent="0.2">
      <c r="A305" t="s">
        <v>316</v>
      </c>
      <c r="B305">
        <v>25</v>
      </c>
      <c r="C305" t="s">
        <v>13</v>
      </c>
      <c r="D305">
        <v>5.6</v>
      </c>
      <c r="E305">
        <v>2.2000000000000002</v>
      </c>
      <c r="G305">
        <v>4.4000000000000004</v>
      </c>
      <c r="H305">
        <v>1.1000000000000001</v>
      </c>
      <c r="I305">
        <v>7.6</v>
      </c>
      <c r="J305">
        <v>94</v>
      </c>
      <c r="K305">
        <v>3.2</v>
      </c>
      <c r="L305">
        <v>9.25</v>
      </c>
      <c r="M305">
        <v>9.4499999999999993</v>
      </c>
    </row>
    <row r="306" spans="1:13" x14ac:dyDescent="0.2">
      <c r="A306" t="s">
        <v>317</v>
      </c>
      <c r="B306">
        <v>17</v>
      </c>
      <c r="C306" t="s">
        <v>17</v>
      </c>
      <c r="D306">
        <v>8.6</v>
      </c>
      <c r="E306">
        <v>3.4</v>
      </c>
      <c r="G306">
        <v>1.4</v>
      </c>
      <c r="H306">
        <v>1.7</v>
      </c>
      <c r="I306">
        <v>5.6</v>
      </c>
      <c r="J306">
        <v>56</v>
      </c>
      <c r="K306">
        <v>1.9</v>
      </c>
      <c r="L306">
        <v>5.49</v>
      </c>
      <c r="M306">
        <v>5.69</v>
      </c>
    </row>
    <row r="307" spans="1:13" x14ac:dyDescent="0.2">
      <c r="A307" t="s">
        <v>318</v>
      </c>
      <c r="B307">
        <v>21</v>
      </c>
      <c r="C307" t="s">
        <v>17</v>
      </c>
      <c r="D307">
        <v>9.1999999999999993</v>
      </c>
      <c r="E307">
        <v>3.7</v>
      </c>
      <c r="G307">
        <v>0.8</v>
      </c>
      <c r="H307">
        <v>1.8</v>
      </c>
      <c r="I307">
        <v>5.8</v>
      </c>
      <c r="J307">
        <v>61</v>
      </c>
      <c r="K307">
        <v>2</v>
      </c>
      <c r="L307">
        <v>5.91</v>
      </c>
      <c r="M307">
        <v>6.11</v>
      </c>
    </row>
    <row r="308" spans="1:13" x14ac:dyDescent="0.2">
      <c r="A308" t="s">
        <v>319</v>
      </c>
      <c r="B308">
        <v>25</v>
      </c>
      <c r="C308" t="s">
        <v>13</v>
      </c>
      <c r="D308">
        <v>5.4</v>
      </c>
      <c r="E308">
        <v>2.2000000000000002</v>
      </c>
      <c r="G308">
        <v>4.5999999999999996</v>
      </c>
      <c r="H308">
        <v>1.1000000000000001</v>
      </c>
      <c r="I308">
        <v>8</v>
      </c>
      <c r="J308">
        <v>82</v>
      </c>
      <c r="K308">
        <v>2.7</v>
      </c>
      <c r="L308">
        <v>8.01</v>
      </c>
      <c r="M308">
        <v>8.2100000000000009</v>
      </c>
    </row>
    <row r="309" spans="1:13" x14ac:dyDescent="0.2">
      <c r="A309" t="s">
        <v>320</v>
      </c>
      <c r="B309">
        <v>19</v>
      </c>
      <c r="C309" t="s">
        <v>13</v>
      </c>
      <c r="D309">
        <v>4.9000000000000004</v>
      </c>
      <c r="E309">
        <v>2</v>
      </c>
      <c r="G309">
        <v>5.0999999999999996</v>
      </c>
      <c r="H309">
        <v>1</v>
      </c>
      <c r="I309">
        <v>7.9</v>
      </c>
      <c r="J309">
        <v>83</v>
      </c>
      <c r="K309">
        <v>2.8</v>
      </c>
      <c r="L309">
        <v>8.15</v>
      </c>
      <c r="M309">
        <v>8.35</v>
      </c>
    </row>
    <row r="310" spans="1:13" x14ac:dyDescent="0.2">
      <c r="A310" t="s">
        <v>321</v>
      </c>
      <c r="B310">
        <v>24</v>
      </c>
      <c r="C310" t="s">
        <v>13</v>
      </c>
      <c r="D310">
        <v>6.6</v>
      </c>
      <c r="E310">
        <v>2.6</v>
      </c>
      <c r="G310">
        <v>3.4</v>
      </c>
      <c r="H310">
        <v>1.3</v>
      </c>
      <c r="I310">
        <v>7</v>
      </c>
      <c r="J310">
        <v>76</v>
      </c>
      <c r="K310">
        <v>2.6</v>
      </c>
      <c r="L310">
        <v>7.46</v>
      </c>
      <c r="M310">
        <v>7.66</v>
      </c>
    </row>
    <row r="311" spans="1:13" x14ac:dyDescent="0.2">
      <c r="A311" t="s">
        <v>322</v>
      </c>
      <c r="B311">
        <v>20</v>
      </c>
      <c r="C311" t="s">
        <v>13</v>
      </c>
      <c r="D311">
        <v>8.9</v>
      </c>
      <c r="E311">
        <v>3.6</v>
      </c>
      <c r="G311">
        <v>1.1000000000000001</v>
      </c>
      <c r="H311">
        <v>1.8</v>
      </c>
      <c r="I311">
        <v>5.5</v>
      </c>
      <c r="J311">
        <v>62</v>
      </c>
      <c r="K311">
        <v>2.1</v>
      </c>
      <c r="L311">
        <v>6.08</v>
      </c>
      <c r="M311">
        <v>6.28</v>
      </c>
    </row>
    <row r="312" spans="1:13" x14ac:dyDescent="0.2">
      <c r="A312" t="s">
        <v>323</v>
      </c>
      <c r="B312">
        <v>22</v>
      </c>
      <c r="C312" t="s">
        <v>17</v>
      </c>
      <c r="D312">
        <v>7.9</v>
      </c>
      <c r="E312">
        <v>3.2</v>
      </c>
      <c r="G312">
        <v>2.1</v>
      </c>
      <c r="H312">
        <v>1.6</v>
      </c>
      <c r="I312">
        <v>6.6</v>
      </c>
      <c r="J312">
        <v>75</v>
      </c>
      <c r="K312">
        <v>2.5</v>
      </c>
      <c r="L312">
        <v>7.31</v>
      </c>
      <c r="M312">
        <v>7.51</v>
      </c>
    </row>
    <row r="313" spans="1:13" x14ac:dyDescent="0.2">
      <c r="A313" t="s">
        <v>324</v>
      </c>
      <c r="B313">
        <v>21</v>
      </c>
      <c r="C313" t="s">
        <v>13</v>
      </c>
      <c r="D313">
        <v>7.7</v>
      </c>
      <c r="E313">
        <v>3.1</v>
      </c>
      <c r="G313">
        <v>2.2999999999999998</v>
      </c>
      <c r="H313">
        <v>1.5</v>
      </c>
      <c r="I313">
        <v>7.2</v>
      </c>
      <c r="J313">
        <v>73</v>
      </c>
      <c r="K313">
        <v>2.4</v>
      </c>
      <c r="L313">
        <v>7.13</v>
      </c>
      <c r="M313">
        <v>7.33</v>
      </c>
    </row>
    <row r="314" spans="1:13" x14ac:dyDescent="0.2">
      <c r="A314" t="s">
        <v>325</v>
      </c>
      <c r="B314">
        <v>19</v>
      </c>
      <c r="C314" t="s">
        <v>13</v>
      </c>
      <c r="D314">
        <v>9.3000000000000007</v>
      </c>
      <c r="E314">
        <v>3.7</v>
      </c>
      <c r="G314">
        <v>0.7</v>
      </c>
      <c r="H314">
        <v>1.9</v>
      </c>
      <c r="I314">
        <v>5.8</v>
      </c>
      <c r="J314">
        <v>63</v>
      </c>
      <c r="K314">
        <v>2.1</v>
      </c>
      <c r="L314">
        <v>6.1499999999999897</v>
      </c>
      <c r="M314">
        <v>6.35</v>
      </c>
    </row>
    <row r="315" spans="1:13" x14ac:dyDescent="0.2">
      <c r="A315" t="s">
        <v>326</v>
      </c>
      <c r="B315">
        <v>19</v>
      </c>
      <c r="C315" t="s">
        <v>13</v>
      </c>
      <c r="D315">
        <v>8</v>
      </c>
      <c r="E315">
        <v>3.2</v>
      </c>
      <c r="G315">
        <v>2</v>
      </c>
      <c r="H315">
        <v>1.6</v>
      </c>
      <c r="I315">
        <v>6</v>
      </c>
      <c r="J315">
        <v>67</v>
      </c>
      <c r="K315">
        <v>2.2999999999999998</v>
      </c>
      <c r="L315">
        <v>6.59</v>
      </c>
      <c r="M315">
        <v>6.79</v>
      </c>
    </row>
    <row r="316" spans="1:13" x14ac:dyDescent="0.2">
      <c r="A316" t="s">
        <v>327</v>
      </c>
      <c r="B316">
        <v>20</v>
      </c>
      <c r="C316" t="s">
        <v>17</v>
      </c>
      <c r="D316">
        <v>6.7</v>
      </c>
      <c r="E316">
        <v>2.7</v>
      </c>
      <c r="G316">
        <v>3.3</v>
      </c>
      <c r="H316">
        <v>1.3</v>
      </c>
      <c r="I316">
        <v>6.9</v>
      </c>
      <c r="J316">
        <v>72</v>
      </c>
      <c r="K316">
        <v>2.4</v>
      </c>
      <c r="L316">
        <v>7</v>
      </c>
      <c r="M316">
        <v>7.2</v>
      </c>
    </row>
    <row r="317" spans="1:13" x14ac:dyDescent="0.2">
      <c r="A317" t="s">
        <v>328</v>
      </c>
      <c r="B317">
        <v>25</v>
      </c>
      <c r="C317" t="s">
        <v>17</v>
      </c>
      <c r="D317">
        <v>5.0999999999999996</v>
      </c>
      <c r="E317">
        <v>2</v>
      </c>
      <c r="G317">
        <v>4.9000000000000004</v>
      </c>
      <c r="H317">
        <v>1</v>
      </c>
      <c r="I317">
        <v>7.3</v>
      </c>
      <c r="J317">
        <v>91</v>
      </c>
      <c r="K317">
        <v>3.1</v>
      </c>
      <c r="L317">
        <v>8.98</v>
      </c>
      <c r="M317">
        <v>9.18</v>
      </c>
    </row>
    <row r="318" spans="1:13" x14ac:dyDescent="0.2">
      <c r="A318" t="s">
        <v>329</v>
      </c>
      <c r="B318">
        <v>19</v>
      </c>
      <c r="C318" t="s">
        <v>13</v>
      </c>
      <c r="D318">
        <v>8.5</v>
      </c>
      <c r="E318">
        <v>3.4</v>
      </c>
      <c r="G318">
        <v>1.5</v>
      </c>
      <c r="H318">
        <v>1.7</v>
      </c>
      <c r="I318">
        <v>6</v>
      </c>
      <c r="J318">
        <v>59</v>
      </c>
      <c r="K318">
        <v>2</v>
      </c>
      <c r="L318">
        <v>5.75</v>
      </c>
      <c r="M318">
        <v>5.95</v>
      </c>
    </row>
    <row r="319" spans="1:13" x14ac:dyDescent="0.2">
      <c r="A319" t="s">
        <v>330</v>
      </c>
      <c r="B319">
        <v>21</v>
      </c>
      <c r="C319" t="s">
        <v>13</v>
      </c>
      <c r="D319">
        <v>6.3</v>
      </c>
      <c r="E319">
        <v>2.5</v>
      </c>
      <c r="G319">
        <v>3.7</v>
      </c>
      <c r="H319">
        <v>1.3</v>
      </c>
      <c r="I319">
        <v>7.5</v>
      </c>
      <c r="J319">
        <v>69</v>
      </c>
      <c r="K319">
        <v>2.2999999999999998</v>
      </c>
      <c r="L319">
        <v>6.74</v>
      </c>
      <c r="M319">
        <v>6.94</v>
      </c>
    </row>
    <row r="320" spans="1:13" x14ac:dyDescent="0.2">
      <c r="A320" t="s">
        <v>331</v>
      </c>
      <c r="B320">
        <v>20</v>
      </c>
      <c r="C320" t="s">
        <v>13</v>
      </c>
      <c r="D320">
        <v>9.6</v>
      </c>
      <c r="E320">
        <v>3.8</v>
      </c>
      <c r="G320">
        <v>0.4</v>
      </c>
      <c r="H320">
        <v>1.9</v>
      </c>
      <c r="I320">
        <v>6.3</v>
      </c>
      <c r="J320">
        <v>62</v>
      </c>
      <c r="K320">
        <v>2.1</v>
      </c>
      <c r="L320">
        <v>6</v>
      </c>
      <c r="M320">
        <v>6.2</v>
      </c>
    </row>
    <row r="321" spans="1:13" x14ac:dyDescent="0.2">
      <c r="A321" t="s">
        <v>332</v>
      </c>
      <c r="B321">
        <v>22</v>
      </c>
      <c r="C321" t="s">
        <v>13</v>
      </c>
      <c r="D321">
        <v>5.5</v>
      </c>
      <c r="E321">
        <v>2.2000000000000002</v>
      </c>
      <c r="G321">
        <v>4.5</v>
      </c>
      <c r="H321">
        <v>1.1000000000000001</v>
      </c>
      <c r="I321">
        <v>8.3000000000000007</v>
      </c>
      <c r="J321">
        <v>93</v>
      </c>
      <c r="K321">
        <v>3.1</v>
      </c>
      <c r="L321">
        <v>9.18</v>
      </c>
      <c r="M321">
        <v>9.3800000000000008</v>
      </c>
    </row>
    <row r="322" spans="1:13" x14ac:dyDescent="0.2">
      <c r="A322" t="s">
        <v>333</v>
      </c>
      <c r="B322">
        <v>18</v>
      </c>
      <c r="C322" t="s">
        <v>17</v>
      </c>
      <c r="D322">
        <v>8.3000000000000007</v>
      </c>
      <c r="E322">
        <v>3.3</v>
      </c>
      <c r="G322">
        <v>1.7</v>
      </c>
      <c r="H322">
        <v>1.7</v>
      </c>
      <c r="I322">
        <v>5.5</v>
      </c>
      <c r="J322">
        <v>55</v>
      </c>
      <c r="K322">
        <v>1.8</v>
      </c>
      <c r="L322">
        <v>5.35</v>
      </c>
      <c r="M322">
        <v>5.55</v>
      </c>
    </row>
    <row r="323" spans="1:13" x14ac:dyDescent="0.2">
      <c r="A323" t="s">
        <v>334</v>
      </c>
      <c r="B323">
        <v>20</v>
      </c>
      <c r="C323" t="s">
        <v>13</v>
      </c>
      <c r="D323">
        <v>4.5</v>
      </c>
      <c r="E323">
        <v>1.8</v>
      </c>
      <c r="G323">
        <v>5.5</v>
      </c>
      <c r="H323">
        <v>0.9</v>
      </c>
      <c r="I323">
        <v>7.8</v>
      </c>
      <c r="J323">
        <v>96</v>
      </c>
      <c r="K323">
        <v>3.2</v>
      </c>
      <c r="L323">
        <v>9.4700000000000006</v>
      </c>
      <c r="M323">
        <v>9.67</v>
      </c>
    </row>
    <row r="324" spans="1:13" x14ac:dyDescent="0.2">
      <c r="A324" t="s">
        <v>335</v>
      </c>
      <c r="B324">
        <v>22</v>
      </c>
      <c r="C324" t="s">
        <v>17</v>
      </c>
      <c r="D324">
        <v>6.7</v>
      </c>
      <c r="E324">
        <v>2.7</v>
      </c>
      <c r="G324">
        <v>3.3</v>
      </c>
      <c r="H324">
        <v>1.3</v>
      </c>
      <c r="I324">
        <v>6.8</v>
      </c>
      <c r="J324">
        <v>75</v>
      </c>
      <c r="K324">
        <v>2.5</v>
      </c>
      <c r="L324">
        <v>7.3199999999999896</v>
      </c>
      <c r="M324">
        <v>7.52</v>
      </c>
    </row>
    <row r="325" spans="1:13" x14ac:dyDescent="0.2">
      <c r="A325" t="s">
        <v>336</v>
      </c>
      <c r="B325">
        <v>22</v>
      </c>
      <c r="C325" t="s">
        <v>13</v>
      </c>
      <c r="D325">
        <v>7.4</v>
      </c>
      <c r="E325">
        <v>3</v>
      </c>
      <c r="G325">
        <v>2.6</v>
      </c>
      <c r="H325">
        <v>1.5</v>
      </c>
      <c r="I325">
        <v>6.6</v>
      </c>
      <c r="J325">
        <v>74</v>
      </c>
      <c r="K325">
        <v>2.5</v>
      </c>
      <c r="L325">
        <v>7.28</v>
      </c>
      <c r="M325">
        <v>7.48</v>
      </c>
    </row>
    <row r="326" spans="1:13" x14ac:dyDescent="0.2">
      <c r="A326" t="s">
        <v>337</v>
      </c>
      <c r="B326">
        <v>19</v>
      </c>
      <c r="C326" t="s">
        <v>13</v>
      </c>
      <c r="D326">
        <v>7.8</v>
      </c>
      <c r="E326">
        <v>3.1</v>
      </c>
      <c r="G326">
        <v>2.2000000000000002</v>
      </c>
      <c r="H326">
        <v>1.6</v>
      </c>
      <c r="I326">
        <v>6.8</v>
      </c>
      <c r="J326">
        <v>76</v>
      </c>
      <c r="K326">
        <v>2.5</v>
      </c>
      <c r="L326">
        <v>7.41</v>
      </c>
      <c r="M326">
        <v>7.61</v>
      </c>
    </row>
    <row r="327" spans="1:13" x14ac:dyDescent="0.2">
      <c r="A327" t="s">
        <v>338</v>
      </c>
      <c r="B327">
        <v>18</v>
      </c>
      <c r="C327" t="s">
        <v>17</v>
      </c>
      <c r="D327">
        <v>5.3</v>
      </c>
      <c r="E327">
        <v>2.1</v>
      </c>
      <c r="G327">
        <v>4.7</v>
      </c>
      <c r="H327">
        <v>1.1000000000000001</v>
      </c>
      <c r="I327">
        <v>7.5</v>
      </c>
      <c r="J327">
        <v>94</v>
      </c>
      <c r="K327">
        <v>3.1</v>
      </c>
      <c r="L327">
        <v>9.24</v>
      </c>
      <c r="M327">
        <v>9.44</v>
      </c>
    </row>
    <row r="328" spans="1:13" x14ac:dyDescent="0.2">
      <c r="A328" t="s">
        <v>339</v>
      </c>
      <c r="B328">
        <v>25</v>
      </c>
      <c r="C328" t="s">
        <v>13</v>
      </c>
      <c r="D328">
        <v>8.1999999999999993</v>
      </c>
      <c r="E328">
        <v>3.3</v>
      </c>
      <c r="G328">
        <v>1.8</v>
      </c>
      <c r="H328">
        <v>1.6</v>
      </c>
      <c r="I328">
        <v>6.5</v>
      </c>
      <c r="J328">
        <v>59</v>
      </c>
      <c r="K328">
        <v>2</v>
      </c>
      <c r="L328">
        <v>5.75</v>
      </c>
      <c r="M328">
        <v>5.95</v>
      </c>
    </row>
    <row r="329" spans="1:13" x14ac:dyDescent="0.2">
      <c r="A329" t="s">
        <v>340</v>
      </c>
      <c r="B329">
        <v>22</v>
      </c>
      <c r="C329" t="s">
        <v>13</v>
      </c>
      <c r="D329">
        <v>4.8</v>
      </c>
      <c r="E329">
        <v>1.9</v>
      </c>
      <c r="G329">
        <v>5.2</v>
      </c>
      <c r="H329">
        <v>1</v>
      </c>
      <c r="I329">
        <v>8.4</v>
      </c>
      <c r="J329">
        <v>95</v>
      </c>
      <c r="K329">
        <v>3.2</v>
      </c>
      <c r="L329">
        <v>9.32</v>
      </c>
      <c r="M329">
        <v>9.52</v>
      </c>
    </row>
    <row r="330" spans="1:13" x14ac:dyDescent="0.2">
      <c r="A330" t="s">
        <v>341</v>
      </c>
      <c r="B330">
        <v>21</v>
      </c>
      <c r="C330" t="s">
        <v>13</v>
      </c>
      <c r="D330">
        <v>5</v>
      </c>
      <c r="E330">
        <v>2</v>
      </c>
      <c r="G330">
        <v>5</v>
      </c>
      <c r="H330">
        <v>1</v>
      </c>
      <c r="I330">
        <v>7.6</v>
      </c>
      <c r="J330">
        <v>88</v>
      </c>
      <c r="K330">
        <v>2.9</v>
      </c>
      <c r="L330">
        <v>8.61</v>
      </c>
      <c r="M330">
        <v>8.81</v>
      </c>
    </row>
    <row r="331" spans="1:13" x14ac:dyDescent="0.2">
      <c r="A331" t="s">
        <v>342</v>
      </c>
      <c r="B331">
        <v>20</v>
      </c>
      <c r="C331" t="s">
        <v>13</v>
      </c>
      <c r="D331">
        <v>4.4000000000000004</v>
      </c>
      <c r="E331">
        <v>1.8</v>
      </c>
      <c r="G331">
        <v>5.6</v>
      </c>
      <c r="H331">
        <v>0.9</v>
      </c>
      <c r="I331">
        <v>7.2</v>
      </c>
      <c r="J331">
        <v>78</v>
      </c>
      <c r="K331">
        <v>2.6</v>
      </c>
      <c r="L331">
        <v>7.6499999999999897</v>
      </c>
      <c r="M331">
        <v>7.85</v>
      </c>
    </row>
    <row r="332" spans="1:13" x14ac:dyDescent="0.2">
      <c r="A332" t="s">
        <v>343</v>
      </c>
      <c r="B332">
        <v>23</v>
      </c>
      <c r="C332" t="s">
        <v>17</v>
      </c>
      <c r="D332">
        <v>5.7</v>
      </c>
      <c r="E332">
        <v>2.2999999999999998</v>
      </c>
      <c r="G332">
        <v>4.3</v>
      </c>
      <c r="H332">
        <v>1.1000000000000001</v>
      </c>
      <c r="I332">
        <v>7</v>
      </c>
      <c r="J332">
        <v>95</v>
      </c>
      <c r="K332">
        <v>3.2</v>
      </c>
      <c r="L332">
        <v>9.3000000000000007</v>
      </c>
      <c r="M332">
        <v>9.5</v>
      </c>
    </row>
    <row r="333" spans="1:13" x14ac:dyDescent="0.2">
      <c r="A333" t="s">
        <v>344</v>
      </c>
      <c r="B333">
        <v>18</v>
      </c>
      <c r="C333" t="s">
        <v>13</v>
      </c>
      <c r="D333">
        <v>6.3</v>
      </c>
      <c r="E333">
        <v>2.5</v>
      </c>
      <c r="G333">
        <v>3.7</v>
      </c>
      <c r="H333">
        <v>1.3</v>
      </c>
      <c r="I333">
        <v>6.3</v>
      </c>
      <c r="J333">
        <v>74</v>
      </c>
      <c r="K333">
        <v>2.5</v>
      </c>
      <c r="L333">
        <v>7.28</v>
      </c>
      <c r="M333">
        <v>7.48</v>
      </c>
    </row>
    <row r="334" spans="1:13" x14ac:dyDescent="0.2">
      <c r="A334" t="s">
        <v>345</v>
      </c>
      <c r="B334">
        <v>23</v>
      </c>
      <c r="C334" t="s">
        <v>17</v>
      </c>
      <c r="D334">
        <v>10</v>
      </c>
      <c r="E334">
        <v>4</v>
      </c>
      <c r="G334">
        <v>0</v>
      </c>
      <c r="H334">
        <v>2</v>
      </c>
      <c r="I334">
        <v>6</v>
      </c>
      <c r="J334">
        <v>55</v>
      </c>
      <c r="K334">
        <v>1.9</v>
      </c>
      <c r="L334">
        <v>5.38</v>
      </c>
      <c r="M334">
        <v>5.58</v>
      </c>
    </row>
    <row r="335" spans="1:13" x14ac:dyDescent="0.2">
      <c r="A335" t="s">
        <v>346</v>
      </c>
      <c r="B335">
        <v>23</v>
      </c>
      <c r="C335" t="s">
        <v>13</v>
      </c>
      <c r="D335">
        <v>5</v>
      </c>
      <c r="E335">
        <v>2</v>
      </c>
      <c r="G335">
        <v>5</v>
      </c>
      <c r="H335">
        <v>1</v>
      </c>
      <c r="I335">
        <v>8.1999999999999993</v>
      </c>
      <c r="J335">
        <v>79</v>
      </c>
      <c r="K335">
        <v>2.6</v>
      </c>
      <c r="L335">
        <v>7.75</v>
      </c>
      <c r="M335">
        <v>7.95</v>
      </c>
    </row>
    <row r="336" spans="1:13" x14ac:dyDescent="0.2">
      <c r="A336" t="s">
        <v>347</v>
      </c>
      <c r="B336">
        <v>17</v>
      </c>
      <c r="C336" t="s">
        <v>17</v>
      </c>
      <c r="D336">
        <v>8.1</v>
      </c>
      <c r="E336">
        <v>3.2</v>
      </c>
      <c r="G336">
        <v>1.9</v>
      </c>
      <c r="H336">
        <v>1.6</v>
      </c>
      <c r="I336">
        <v>5.9</v>
      </c>
      <c r="J336">
        <v>63</v>
      </c>
      <c r="K336">
        <v>2.1</v>
      </c>
      <c r="L336">
        <v>6.1</v>
      </c>
      <c r="M336">
        <v>6.3</v>
      </c>
    </row>
    <row r="337" spans="1:13" x14ac:dyDescent="0.2">
      <c r="A337" t="s">
        <v>348</v>
      </c>
      <c r="B337">
        <v>23</v>
      </c>
      <c r="C337" t="s">
        <v>13</v>
      </c>
      <c r="D337">
        <v>7.7</v>
      </c>
      <c r="E337">
        <v>3.1</v>
      </c>
      <c r="G337">
        <v>2.2999999999999998</v>
      </c>
      <c r="H337">
        <v>1.5</v>
      </c>
      <c r="I337">
        <v>6.9</v>
      </c>
      <c r="J337">
        <v>71</v>
      </c>
      <c r="K337">
        <v>2.4</v>
      </c>
      <c r="L337">
        <v>6.97</v>
      </c>
      <c r="M337">
        <v>7.17</v>
      </c>
    </row>
    <row r="338" spans="1:13" x14ac:dyDescent="0.2">
      <c r="A338" t="s">
        <v>349</v>
      </c>
      <c r="B338">
        <v>23</v>
      </c>
      <c r="C338" t="s">
        <v>17</v>
      </c>
      <c r="D338">
        <v>4.8</v>
      </c>
      <c r="E338">
        <v>1.9</v>
      </c>
      <c r="G338">
        <v>5.2</v>
      </c>
      <c r="H338">
        <v>1</v>
      </c>
      <c r="I338">
        <v>7.7</v>
      </c>
      <c r="J338">
        <v>95</v>
      </c>
      <c r="K338">
        <v>3.2</v>
      </c>
      <c r="L338">
        <v>9.3699999999999992</v>
      </c>
      <c r="M338">
        <v>9.57</v>
      </c>
    </row>
    <row r="339" spans="1:13" x14ac:dyDescent="0.2">
      <c r="A339" t="s">
        <v>350</v>
      </c>
      <c r="B339">
        <v>21</v>
      </c>
      <c r="C339" t="s">
        <v>13</v>
      </c>
      <c r="D339">
        <v>6.5</v>
      </c>
      <c r="E339">
        <v>2.6</v>
      </c>
      <c r="G339">
        <v>3.5</v>
      </c>
      <c r="H339">
        <v>1.3</v>
      </c>
      <c r="I339">
        <v>7.1</v>
      </c>
      <c r="J339">
        <v>77</v>
      </c>
      <c r="K339">
        <v>2.6</v>
      </c>
      <c r="L339">
        <v>7.59</v>
      </c>
      <c r="M339">
        <v>7.79</v>
      </c>
    </row>
    <row r="340" spans="1:13" x14ac:dyDescent="0.2">
      <c r="A340" t="s">
        <v>351</v>
      </c>
      <c r="B340">
        <v>21</v>
      </c>
      <c r="C340" t="s">
        <v>13</v>
      </c>
      <c r="D340">
        <v>5.5</v>
      </c>
      <c r="E340">
        <v>2.2000000000000002</v>
      </c>
      <c r="G340">
        <v>4.5</v>
      </c>
      <c r="H340">
        <v>1.1000000000000001</v>
      </c>
      <c r="I340">
        <v>7.6</v>
      </c>
      <c r="J340">
        <v>80</v>
      </c>
      <c r="K340">
        <v>2.7</v>
      </c>
      <c r="L340">
        <v>7.87</v>
      </c>
      <c r="M340">
        <v>8.07</v>
      </c>
    </row>
    <row r="341" spans="1:13" x14ac:dyDescent="0.2">
      <c r="A341" t="s">
        <v>352</v>
      </c>
      <c r="B341">
        <v>18</v>
      </c>
      <c r="C341" t="s">
        <v>17</v>
      </c>
      <c r="D341">
        <v>8.1</v>
      </c>
      <c r="E341">
        <v>3.2</v>
      </c>
      <c r="G341">
        <v>1.9</v>
      </c>
      <c r="H341">
        <v>1.6</v>
      </c>
      <c r="I341">
        <v>5.9</v>
      </c>
      <c r="J341">
        <v>57</v>
      </c>
      <c r="K341">
        <v>1.9</v>
      </c>
      <c r="L341">
        <v>5.55</v>
      </c>
      <c r="M341">
        <v>5.75</v>
      </c>
    </row>
    <row r="342" spans="1:13" x14ac:dyDescent="0.2">
      <c r="A342" t="s">
        <v>353</v>
      </c>
      <c r="B342">
        <v>17</v>
      </c>
      <c r="C342" t="s">
        <v>17</v>
      </c>
      <c r="D342">
        <v>9.9</v>
      </c>
      <c r="E342">
        <v>4</v>
      </c>
      <c r="G342">
        <v>0.1</v>
      </c>
      <c r="H342">
        <v>2</v>
      </c>
      <c r="I342">
        <v>6.4</v>
      </c>
      <c r="J342">
        <v>65</v>
      </c>
      <c r="K342">
        <v>2.2000000000000002</v>
      </c>
      <c r="L342">
        <v>6.34</v>
      </c>
      <c r="M342">
        <v>6.54</v>
      </c>
    </row>
    <row r="343" spans="1:13" x14ac:dyDescent="0.2">
      <c r="A343" t="s">
        <v>354</v>
      </c>
      <c r="B343">
        <v>21</v>
      </c>
      <c r="C343" t="s">
        <v>13</v>
      </c>
      <c r="D343">
        <v>5.6</v>
      </c>
      <c r="E343">
        <v>2.2000000000000002</v>
      </c>
      <c r="G343">
        <v>4.4000000000000004</v>
      </c>
      <c r="H343">
        <v>1.1000000000000001</v>
      </c>
      <c r="I343">
        <v>7.7</v>
      </c>
      <c r="J343">
        <v>90</v>
      </c>
      <c r="K343">
        <v>3</v>
      </c>
      <c r="L343">
        <v>8.89</v>
      </c>
      <c r="M343">
        <v>9.09</v>
      </c>
    </row>
    <row r="344" spans="1:13" x14ac:dyDescent="0.2">
      <c r="A344" t="s">
        <v>355</v>
      </c>
      <c r="B344">
        <v>24</v>
      </c>
      <c r="C344" t="s">
        <v>17</v>
      </c>
      <c r="D344">
        <v>4.8</v>
      </c>
      <c r="E344">
        <v>1.9</v>
      </c>
      <c r="G344">
        <v>5.2</v>
      </c>
      <c r="H344">
        <v>1</v>
      </c>
      <c r="I344">
        <v>7.4</v>
      </c>
      <c r="J344">
        <v>95</v>
      </c>
      <c r="K344">
        <v>3.2</v>
      </c>
      <c r="L344">
        <v>9.33</v>
      </c>
      <c r="M344">
        <v>9.5299999999999994</v>
      </c>
    </row>
    <row r="345" spans="1:13" x14ac:dyDescent="0.2">
      <c r="A345" t="s">
        <v>356</v>
      </c>
      <c r="B345">
        <v>17</v>
      </c>
      <c r="C345" t="s">
        <v>17</v>
      </c>
      <c r="D345">
        <v>6.3</v>
      </c>
      <c r="E345">
        <v>2.5</v>
      </c>
      <c r="G345">
        <v>3.7</v>
      </c>
      <c r="H345">
        <v>1.3</v>
      </c>
      <c r="I345">
        <v>6.7</v>
      </c>
      <c r="J345">
        <v>72</v>
      </c>
      <c r="K345">
        <v>2.4</v>
      </c>
      <c r="L345">
        <v>7.0699999999999896</v>
      </c>
      <c r="M345">
        <v>7.27</v>
      </c>
    </row>
    <row r="346" spans="1:13" x14ac:dyDescent="0.2">
      <c r="A346" t="s">
        <v>357</v>
      </c>
      <c r="B346">
        <v>17</v>
      </c>
      <c r="C346" t="s">
        <v>13</v>
      </c>
      <c r="D346">
        <v>4.5999999999999996</v>
      </c>
      <c r="E346">
        <v>1.8</v>
      </c>
      <c r="G346">
        <v>5.4</v>
      </c>
      <c r="H346">
        <v>0.9</v>
      </c>
      <c r="I346">
        <v>8.4</v>
      </c>
      <c r="J346">
        <v>91</v>
      </c>
      <c r="K346">
        <v>3</v>
      </c>
      <c r="L346">
        <v>8.92</v>
      </c>
      <c r="M346">
        <v>9.1199999999999992</v>
      </c>
    </row>
    <row r="347" spans="1:13" x14ac:dyDescent="0.2">
      <c r="A347" t="s">
        <v>358</v>
      </c>
      <c r="B347">
        <v>18</v>
      </c>
      <c r="C347" t="s">
        <v>13</v>
      </c>
      <c r="D347">
        <v>9.6</v>
      </c>
      <c r="E347">
        <v>3.8</v>
      </c>
      <c r="G347">
        <v>0.4</v>
      </c>
      <c r="H347">
        <v>1.9</v>
      </c>
      <c r="I347">
        <v>6.2</v>
      </c>
      <c r="J347">
        <v>58</v>
      </c>
      <c r="K347">
        <v>1.9</v>
      </c>
      <c r="L347">
        <v>5.63</v>
      </c>
      <c r="M347">
        <v>5.83</v>
      </c>
    </row>
    <row r="348" spans="1:13" x14ac:dyDescent="0.2">
      <c r="A348" t="s">
        <v>359</v>
      </c>
      <c r="B348">
        <v>24</v>
      </c>
      <c r="C348" t="s">
        <v>17</v>
      </c>
      <c r="D348">
        <v>9.4</v>
      </c>
      <c r="E348">
        <v>3.8</v>
      </c>
      <c r="G348">
        <v>0.6</v>
      </c>
      <c r="H348">
        <v>1.9</v>
      </c>
      <c r="I348">
        <v>5.9</v>
      </c>
      <c r="J348">
        <v>63</v>
      </c>
      <c r="K348">
        <v>2.1</v>
      </c>
      <c r="L348">
        <v>6.13</v>
      </c>
      <c r="M348">
        <v>6.33</v>
      </c>
    </row>
    <row r="349" spans="1:13" x14ac:dyDescent="0.2">
      <c r="A349" t="s">
        <v>360</v>
      </c>
      <c r="B349">
        <v>24</v>
      </c>
      <c r="C349" t="s">
        <v>17</v>
      </c>
      <c r="D349">
        <v>4.9000000000000004</v>
      </c>
      <c r="E349">
        <v>2</v>
      </c>
      <c r="G349">
        <v>5.0999999999999996</v>
      </c>
      <c r="H349">
        <v>1</v>
      </c>
      <c r="I349">
        <v>7.8</v>
      </c>
      <c r="J349">
        <v>92</v>
      </c>
      <c r="K349">
        <v>3.1</v>
      </c>
      <c r="L349">
        <v>9.07</v>
      </c>
      <c r="M349">
        <v>9.27</v>
      </c>
    </row>
    <row r="350" spans="1:13" x14ac:dyDescent="0.2">
      <c r="A350" t="s">
        <v>361</v>
      </c>
      <c r="B350">
        <v>24</v>
      </c>
      <c r="C350" t="s">
        <v>17</v>
      </c>
      <c r="D350">
        <v>4.2</v>
      </c>
      <c r="E350">
        <v>1.7</v>
      </c>
      <c r="G350">
        <v>5.8</v>
      </c>
      <c r="H350">
        <v>0.8</v>
      </c>
      <c r="I350">
        <v>8</v>
      </c>
      <c r="J350">
        <v>92</v>
      </c>
      <c r="K350">
        <v>3.1</v>
      </c>
      <c r="L350">
        <v>9.09</v>
      </c>
      <c r="M350">
        <v>9.2899999999999991</v>
      </c>
    </row>
    <row r="351" spans="1:13" x14ac:dyDescent="0.2">
      <c r="A351" t="s">
        <v>362</v>
      </c>
      <c r="B351">
        <v>20</v>
      </c>
      <c r="C351" t="s">
        <v>17</v>
      </c>
      <c r="D351">
        <v>4.0999999999999996</v>
      </c>
      <c r="E351">
        <v>1.6</v>
      </c>
      <c r="G351">
        <v>5.9</v>
      </c>
      <c r="H351">
        <v>0.8</v>
      </c>
      <c r="I351">
        <v>8.1</v>
      </c>
      <c r="J351">
        <v>97</v>
      </c>
      <c r="K351">
        <v>3.2</v>
      </c>
      <c r="L351">
        <v>9.51</v>
      </c>
      <c r="M351">
        <v>9.7100000000000009</v>
      </c>
    </row>
    <row r="352" spans="1:13" x14ac:dyDescent="0.2">
      <c r="A352" t="s">
        <v>363</v>
      </c>
      <c r="B352">
        <v>21</v>
      </c>
      <c r="C352" t="s">
        <v>17</v>
      </c>
      <c r="D352">
        <v>9.8000000000000007</v>
      </c>
      <c r="E352">
        <v>3.9</v>
      </c>
      <c r="G352">
        <v>0.2</v>
      </c>
      <c r="H352">
        <v>2</v>
      </c>
      <c r="I352">
        <v>6.2</v>
      </c>
      <c r="J352">
        <v>67</v>
      </c>
      <c r="K352">
        <v>2.2000000000000002</v>
      </c>
      <c r="L352">
        <v>6.53</v>
      </c>
      <c r="M352">
        <v>6.73</v>
      </c>
    </row>
    <row r="353" spans="1:13" x14ac:dyDescent="0.2">
      <c r="A353" t="s">
        <v>364</v>
      </c>
      <c r="B353">
        <v>17</v>
      </c>
      <c r="C353" t="s">
        <v>17</v>
      </c>
      <c r="D353">
        <v>8</v>
      </c>
      <c r="E353">
        <v>3.2</v>
      </c>
      <c r="G353">
        <v>2</v>
      </c>
      <c r="H353">
        <v>1.6</v>
      </c>
      <c r="I353">
        <v>5.4</v>
      </c>
      <c r="J353">
        <v>64</v>
      </c>
      <c r="K353">
        <v>2.2000000000000002</v>
      </c>
      <c r="L353">
        <v>6.29</v>
      </c>
      <c r="M353">
        <v>6.49</v>
      </c>
    </row>
    <row r="354" spans="1:13" x14ac:dyDescent="0.2">
      <c r="A354" t="s">
        <v>365</v>
      </c>
      <c r="B354">
        <v>19</v>
      </c>
      <c r="C354" t="s">
        <v>17</v>
      </c>
      <c r="D354">
        <v>8.6999999999999993</v>
      </c>
      <c r="E354">
        <v>3.5</v>
      </c>
      <c r="G354">
        <v>1.3</v>
      </c>
      <c r="H354">
        <v>1.7</v>
      </c>
      <c r="I354">
        <v>6.5</v>
      </c>
      <c r="J354">
        <v>58</v>
      </c>
      <c r="K354">
        <v>1.9</v>
      </c>
      <c r="L354">
        <v>5.6</v>
      </c>
      <c r="M354">
        <v>5.8</v>
      </c>
    </row>
    <row r="355" spans="1:13" x14ac:dyDescent="0.2">
      <c r="A355" t="s">
        <v>366</v>
      </c>
      <c r="B355">
        <v>23</v>
      </c>
      <c r="C355" t="s">
        <v>13</v>
      </c>
      <c r="D355">
        <v>5.5</v>
      </c>
      <c r="E355">
        <v>2.2000000000000002</v>
      </c>
      <c r="G355">
        <v>4.5</v>
      </c>
      <c r="H355">
        <v>1.1000000000000001</v>
      </c>
      <c r="I355">
        <v>7.1</v>
      </c>
      <c r="J355">
        <v>83</v>
      </c>
      <c r="K355">
        <v>2.8</v>
      </c>
      <c r="L355">
        <v>8.1199999999999992</v>
      </c>
      <c r="M355">
        <v>8.32</v>
      </c>
    </row>
    <row r="356" spans="1:13" x14ac:dyDescent="0.2">
      <c r="A356" t="s">
        <v>367</v>
      </c>
      <c r="B356">
        <v>18</v>
      </c>
      <c r="C356" t="s">
        <v>13</v>
      </c>
      <c r="D356">
        <v>9.4</v>
      </c>
      <c r="E356">
        <v>3.8</v>
      </c>
      <c r="G356">
        <v>0.6</v>
      </c>
      <c r="H356">
        <v>1.9</v>
      </c>
      <c r="I356">
        <v>5.2</v>
      </c>
      <c r="J356">
        <v>59</v>
      </c>
      <c r="K356">
        <v>2</v>
      </c>
      <c r="L356">
        <v>5.72</v>
      </c>
      <c r="M356">
        <v>5.92</v>
      </c>
    </row>
    <row r="357" spans="1:13" x14ac:dyDescent="0.2">
      <c r="A357" t="s">
        <v>368</v>
      </c>
      <c r="B357">
        <v>17</v>
      </c>
      <c r="C357" t="s">
        <v>13</v>
      </c>
      <c r="D357">
        <v>6.9</v>
      </c>
      <c r="E357">
        <v>2.8</v>
      </c>
      <c r="G357">
        <v>3.1</v>
      </c>
      <c r="H357">
        <v>1.4</v>
      </c>
      <c r="I357">
        <v>6.8</v>
      </c>
      <c r="J357">
        <v>79</v>
      </c>
      <c r="K357">
        <v>2.6</v>
      </c>
      <c r="L357">
        <v>7.7</v>
      </c>
      <c r="M357">
        <v>7.9</v>
      </c>
    </row>
    <row r="358" spans="1:13" x14ac:dyDescent="0.2">
      <c r="A358" t="s">
        <v>369</v>
      </c>
      <c r="B358">
        <v>25</v>
      </c>
      <c r="C358" t="s">
        <v>13</v>
      </c>
      <c r="D358">
        <v>7.6</v>
      </c>
      <c r="E358">
        <v>3</v>
      </c>
      <c r="G358">
        <v>2.4</v>
      </c>
      <c r="H358">
        <v>1.5</v>
      </c>
      <c r="I358">
        <v>6.6</v>
      </c>
      <c r="J358">
        <v>69</v>
      </c>
      <c r="K358">
        <v>2.2999999999999998</v>
      </c>
      <c r="L358">
        <v>6.71</v>
      </c>
      <c r="M358">
        <v>6.91</v>
      </c>
    </row>
    <row r="359" spans="1:13" x14ac:dyDescent="0.2">
      <c r="A359" t="s">
        <v>370</v>
      </c>
      <c r="B359">
        <v>17</v>
      </c>
      <c r="C359" t="s">
        <v>13</v>
      </c>
      <c r="D359">
        <v>9.6999999999999993</v>
      </c>
      <c r="E359">
        <v>3.9</v>
      </c>
      <c r="G359">
        <v>0.3</v>
      </c>
      <c r="H359">
        <v>1.9</v>
      </c>
      <c r="I359">
        <v>5.2</v>
      </c>
      <c r="J359">
        <v>58</v>
      </c>
      <c r="K359">
        <v>1.9</v>
      </c>
      <c r="L359">
        <v>5.6099999999999897</v>
      </c>
      <c r="M359">
        <v>5.81</v>
      </c>
    </row>
    <row r="360" spans="1:13" x14ac:dyDescent="0.2">
      <c r="A360" t="s">
        <v>371</v>
      </c>
      <c r="B360">
        <v>17</v>
      </c>
      <c r="C360" t="s">
        <v>13</v>
      </c>
      <c r="D360">
        <v>10</v>
      </c>
      <c r="E360">
        <v>4</v>
      </c>
      <c r="G360">
        <v>0</v>
      </c>
      <c r="H360">
        <v>2</v>
      </c>
      <c r="I360">
        <v>5.5</v>
      </c>
      <c r="J360">
        <v>63</v>
      </c>
      <c r="K360">
        <v>2.1</v>
      </c>
      <c r="L360">
        <v>6.17</v>
      </c>
      <c r="M360">
        <v>6.37</v>
      </c>
    </row>
    <row r="361" spans="1:13" x14ac:dyDescent="0.2">
      <c r="A361" t="s">
        <v>372</v>
      </c>
      <c r="B361">
        <v>24</v>
      </c>
      <c r="C361" t="s">
        <v>13</v>
      </c>
      <c r="D361">
        <v>9.5</v>
      </c>
      <c r="E361">
        <v>3.8</v>
      </c>
      <c r="G361">
        <v>0.5</v>
      </c>
      <c r="H361">
        <v>1.9</v>
      </c>
      <c r="I361">
        <v>6.1</v>
      </c>
      <c r="J361">
        <v>58</v>
      </c>
      <c r="K361">
        <v>1.9</v>
      </c>
      <c r="L361">
        <v>5.63</v>
      </c>
      <c r="M361">
        <v>5.83</v>
      </c>
    </row>
    <row r="362" spans="1:13" x14ac:dyDescent="0.2">
      <c r="A362" t="s">
        <v>373</v>
      </c>
      <c r="B362">
        <v>22</v>
      </c>
      <c r="C362" t="s">
        <v>17</v>
      </c>
      <c r="D362">
        <v>8.4</v>
      </c>
      <c r="E362">
        <v>3.4</v>
      </c>
      <c r="G362">
        <v>1.6</v>
      </c>
      <c r="H362">
        <v>1.7</v>
      </c>
      <c r="I362">
        <v>6</v>
      </c>
      <c r="J362">
        <v>65</v>
      </c>
      <c r="K362">
        <v>2.2000000000000002</v>
      </c>
      <c r="L362">
        <v>6.31</v>
      </c>
      <c r="M362">
        <v>6.51</v>
      </c>
    </row>
    <row r="363" spans="1:13" x14ac:dyDescent="0.2">
      <c r="A363" t="s">
        <v>374</v>
      </c>
      <c r="B363">
        <v>21</v>
      </c>
      <c r="C363" t="s">
        <v>17</v>
      </c>
      <c r="D363">
        <v>5.6</v>
      </c>
      <c r="E363">
        <v>2.2000000000000002</v>
      </c>
      <c r="G363">
        <v>4.4000000000000004</v>
      </c>
      <c r="H363">
        <v>1.1000000000000001</v>
      </c>
      <c r="I363">
        <v>8.1</v>
      </c>
      <c r="J363">
        <v>88</v>
      </c>
      <c r="K363">
        <v>3</v>
      </c>
      <c r="L363">
        <v>8.68</v>
      </c>
      <c r="M363">
        <v>8.8800000000000008</v>
      </c>
    </row>
    <row r="364" spans="1:13" x14ac:dyDescent="0.2">
      <c r="A364" t="s">
        <v>375</v>
      </c>
      <c r="B364">
        <v>24</v>
      </c>
      <c r="C364" t="s">
        <v>13</v>
      </c>
      <c r="D364">
        <v>4.5999999999999996</v>
      </c>
      <c r="E364">
        <v>1.8</v>
      </c>
      <c r="G364">
        <v>5.4</v>
      </c>
      <c r="H364">
        <v>0.9</v>
      </c>
      <c r="I364">
        <v>7.7</v>
      </c>
      <c r="J364">
        <v>97</v>
      </c>
      <c r="K364">
        <v>3.2</v>
      </c>
      <c r="L364">
        <v>9.5299999999999994</v>
      </c>
      <c r="M364">
        <v>9.73</v>
      </c>
    </row>
    <row r="365" spans="1:13" x14ac:dyDescent="0.2">
      <c r="A365" t="s">
        <v>376</v>
      </c>
      <c r="B365">
        <v>19</v>
      </c>
      <c r="C365" t="s">
        <v>17</v>
      </c>
      <c r="D365">
        <v>8.4</v>
      </c>
      <c r="E365">
        <v>3.4</v>
      </c>
      <c r="G365">
        <v>1.6</v>
      </c>
      <c r="H365">
        <v>1.7</v>
      </c>
      <c r="I365">
        <v>5.9</v>
      </c>
      <c r="J365">
        <v>62</v>
      </c>
      <c r="K365">
        <v>2.1</v>
      </c>
      <c r="L365">
        <v>6</v>
      </c>
      <c r="M365">
        <v>6.2</v>
      </c>
    </row>
    <row r="366" spans="1:13" x14ac:dyDescent="0.2">
      <c r="A366" t="s">
        <v>377</v>
      </c>
      <c r="B366">
        <v>21</v>
      </c>
      <c r="C366" t="s">
        <v>17</v>
      </c>
      <c r="D366">
        <v>4.5999999999999996</v>
      </c>
      <c r="E366">
        <v>1.8</v>
      </c>
      <c r="G366">
        <v>5.4</v>
      </c>
      <c r="H366">
        <v>0.9</v>
      </c>
      <c r="I366">
        <v>7.1</v>
      </c>
      <c r="J366">
        <v>81</v>
      </c>
      <c r="K366">
        <v>2.7</v>
      </c>
      <c r="L366">
        <v>7.8999999999999897</v>
      </c>
      <c r="M366">
        <v>8.1</v>
      </c>
    </row>
    <row r="367" spans="1:13" x14ac:dyDescent="0.2">
      <c r="A367" t="s">
        <v>378</v>
      </c>
      <c r="B367">
        <v>19</v>
      </c>
      <c r="C367" t="s">
        <v>17</v>
      </c>
      <c r="D367">
        <v>5</v>
      </c>
      <c r="E367">
        <v>2</v>
      </c>
      <c r="G367">
        <v>5</v>
      </c>
      <c r="H367">
        <v>1</v>
      </c>
      <c r="I367">
        <v>8.1999999999999993</v>
      </c>
      <c r="J367">
        <v>89</v>
      </c>
      <c r="K367">
        <v>3</v>
      </c>
      <c r="L367">
        <v>8.7200000000000006</v>
      </c>
      <c r="M367">
        <v>8.92</v>
      </c>
    </row>
    <row r="368" spans="1:13" x14ac:dyDescent="0.2">
      <c r="A368" t="s">
        <v>379</v>
      </c>
      <c r="B368">
        <v>25</v>
      </c>
      <c r="C368" t="s">
        <v>13</v>
      </c>
      <c r="D368">
        <v>5.7</v>
      </c>
      <c r="E368">
        <v>2.2999999999999998</v>
      </c>
      <c r="G368">
        <v>4.3</v>
      </c>
      <c r="H368">
        <v>1.1000000000000001</v>
      </c>
      <c r="I368">
        <v>8.3000000000000007</v>
      </c>
      <c r="J368">
        <v>81</v>
      </c>
      <c r="K368">
        <v>2.7</v>
      </c>
      <c r="L368">
        <v>7.9899999999999904</v>
      </c>
      <c r="M368">
        <v>8.19</v>
      </c>
    </row>
    <row r="369" spans="1:13" x14ac:dyDescent="0.2">
      <c r="A369" t="s">
        <v>380</v>
      </c>
      <c r="B369">
        <v>25</v>
      </c>
      <c r="C369" t="s">
        <v>13</v>
      </c>
      <c r="D369">
        <v>8.5</v>
      </c>
      <c r="E369">
        <v>3.4</v>
      </c>
      <c r="G369">
        <v>1.5</v>
      </c>
      <c r="H369">
        <v>1.7</v>
      </c>
      <c r="I369">
        <v>5.9</v>
      </c>
      <c r="J369">
        <v>65</v>
      </c>
      <c r="K369">
        <v>2.2000000000000002</v>
      </c>
      <c r="L369">
        <v>6.3599999999999897</v>
      </c>
      <c r="M369">
        <v>6.56</v>
      </c>
    </row>
    <row r="370" spans="1:13" x14ac:dyDescent="0.2">
      <c r="A370" t="s">
        <v>381</v>
      </c>
      <c r="B370">
        <v>22</v>
      </c>
      <c r="C370" t="s">
        <v>13</v>
      </c>
      <c r="D370">
        <v>8.6999999999999993</v>
      </c>
      <c r="E370">
        <v>3.5</v>
      </c>
      <c r="G370">
        <v>1.3</v>
      </c>
      <c r="H370">
        <v>1.7</v>
      </c>
      <c r="I370">
        <v>5</v>
      </c>
      <c r="J370">
        <v>62</v>
      </c>
      <c r="K370">
        <v>2.1</v>
      </c>
      <c r="L370">
        <v>6.02</v>
      </c>
      <c r="M370">
        <v>6.22</v>
      </c>
    </row>
    <row r="371" spans="1:13" x14ac:dyDescent="0.2">
      <c r="A371" t="s">
        <v>382</v>
      </c>
      <c r="B371">
        <v>20</v>
      </c>
      <c r="C371" t="s">
        <v>17</v>
      </c>
      <c r="D371">
        <v>8.5</v>
      </c>
      <c r="E371">
        <v>3.4</v>
      </c>
      <c r="G371">
        <v>1.5</v>
      </c>
      <c r="H371">
        <v>1.7</v>
      </c>
      <c r="I371">
        <v>6.4</v>
      </c>
      <c r="J371">
        <v>57</v>
      </c>
      <c r="K371">
        <v>1.9</v>
      </c>
      <c r="L371">
        <v>5.56</v>
      </c>
      <c r="M371">
        <v>5.76</v>
      </c>
    </row>
    <row r="372" spans="1:13" x14ac:dyDescent="0.2">
      <c r="A372" t="s">
        <v>383</v>
      </c>
      <c r="B372">
        <v>21</v>
      </c>
      <c r="C372" t="s">
        <v>13</v>
      </c>
      <c r="D372">
        <v>8.5</v>
      </c>
      <c r="E372">
        <v>3.4</v>
      </c>
      <c r="G372">
        <v>1.5</v>
      </c>
      <c r="H372">
        <v>1.7</v>
      </c>
      <c r="I372">
        <v>5.7</v>
      </c>
      <c r="J372">
        <v>65</v>
      </c>
      <c r="K372">
        <v>2.2000000000000002</v>
      </c>
      <c r="L372">
        <v>6.39</v>
      </c>
      <c r="M372">
        <v>6.59</v>
      </c>
    </row>
    <row r="373" spans="1:13" x14ac:dyDescent="0.2">
      <c r="A373" t="s">
        <v>384</v>
      </c>
      <c r="B373">
        <v>22</v>
      </c>
      <c r="C373" t="s">
        <v>17</v>
      </c>
      <c r="D373">
        <v>6.2</v>
      </c>
      <c r="E373">
        <v>2.5</v>
      </c>
      <c r="G373">
        <v>3.8</v>
      </c>
      <c r="H373">
        <v>1.2</v>
      </c>
      <c r="I373">
        <v>7.1</v>
      </c>
      <c r="J373">
        <v>73</v>
      </c>
      <c r="K373">
        <v>2.4</v>
      </c>
      <c r="L373">
        <v>7.14</v>
      </c>
      <c r="M373">
        <v>7.34</v>
      </c>
    </row>
    <row r="374" spans="1:13" x14ac:dyDescent="0.2">
      <c r="A374" t="s">
        <v>385</v>
      </c>
      <c r="B374">
        <v>21</v>
      </c>
      <c r="C374" t="s">
        <v>13</v>
      </c>
      <c r="D374">
        <v>4.8</v>
      </c>
      <c r="E374">
        <v>1.9</v>
      </c>
      <c r="G374">
        <v>5.2</v>
      </c>
      <c r="H374">
        <v>1</v>
      </c>
      <c r="I374">
        <v>7</v>
      </c>
      <c r="J374">
        <v>91</v>
      </c>
      <c r="K374">
        <v>3</v>
      </c>
      <c r="L374">
        <v>8.93</v>
      </c>
      <c r="M374">
        <v>9.1300000000000008</v>
      </c>
    </row>
    <row r="375" spans="1:13" x14ac:dyDescent="0.2">
      <c r="A375" t="s">
        <v>386</v>
      </c>
      <c r="B375">
        <v>17</v>
      </c>
      <c r="C375" t="s">
        <v>17</v>
      </c>
      <c r="D375">
        <v>7.7</v>
      </c>
      <c r="E375">
        <v>3.1</v>
      </c>
      <c r="G375">
        <v>2.2999999999999998</v>
      </c>
      <c r="H375">
        <v>1.5</v>
      </c>
      <c r="I375">
        <v>7.2</v>
      </c>
      <c r="J375">
        <v>72</v>
      </c>
      <c r="K375">
        <v>2.4</v>
      </c>
      <c r="L375">
        <v>7.03</v>
      </c>
      <c r="M375">
        <v>7.23</v>
      </c>
    </row>
    <row r="376" spans="1:13" x14ac:dyDescent="0.2">
      <c r="A376" t="s">
        <v>387</v>
      </c>
      <c r="B376">
        <v>23</v>
      </c>
      <c r="C376" t="s">
        <v>13</v>
      </c>
      <c r="D376">
        <v>9.1999999999999993</v>
      </c>
      <c r="E376">
        <v>3.7</v>
      </c>
      <c r="G376">
        <v>0.8</v>
      </c>
      <c r="H376">
        <v>1.8</v>
      </c>
      <c r="I376">
        <v>6.1</v>
      </c>
      <c r="J376">
        <v>61</v>
      </c>
      <c r="K376">
        <v>2.1</v>
      </c>
      <c r="L376">
        <v>5.96</v>
      </c>
      <c r="M376">
        <v>6.16</v>
      </c>
    </row>
    <row r="377" spans="1:13" x14ac:dyDescent="0.2">
      <c r="A377" t="s">
        <v>388</v>
      </c>
      <c r="B377">
        <v>19</v>
      </c>
      <c r="C377" t="s">
        <v>17</v>
      </c>
      <c r="D377">
        <v>7.4</v>
      </c>
      <c r="E377">
        <v>3</v>
      </c>
      <c r="G377">
        <v>2.6</v>
      </c>
      <c r="H377">
        <v>1.5</v>
      </c>
      <c r="I377">
        <v>7</v>
      </c>
      <c r="J377">
        <v>75</v>
      </c>
      <c r="K377">
        <v>2.5</v>
      </c>
      <c r="L377">
        <v>7.3199999999999896</v>
      </c>
      <c r="M377">
        <v>7.52</v>
      </c>
    </row>
    <row r="378" spans="1:13" x14ac:dyDescent="0.2">
      <c r="A378" t="s">
        <v>389</v>
      </c>
      <c r="B378">
        <v>22</v>
      </c>
      <c r="C378" t="s">
        <v>13</v>
      </c>
      <c r="D378">
        <v>4.0999999999999996</v>
      </c>
      <c r="E378">
        <v>1.6</v>
      </c>
      <c r="G378">
        <v>5.9</v>
      </c>
      <c r="H378">
        <v>0.8</v>
      </c>
      <c r="I378">
        <v>8</v>
      </c>
      <c r="J378">
        <v>84</v>
      </c>
      <c r="K378">
        <v>2.8</v>
      </c>
      <c r="L378">
        <v>8.24</v>
      </c>
      <c r="M378">
        <v>8.44</v>
      </c>
    </row>
    <row r="379" spans="1:13" x14ac:dyDescent="0.2">
      <c r="A379" t="s">
        <v>390</v>
      </c>
      <c r="B379">
        <v>19</v>
      </c>
      <c r="C379" t="s">
        <v>13</v>
      </c>
      <c r="D379">
        <v>6</v>
      </c>
      <c r="E379">
        <v>2.4</v>
      </c>
      <c r="G379">
        <v>4</v>
      </c>
      <c r="H379">
        <v>1.2</v>
      </c>
      <c r="I379">
        <v>7.1</v>
      </c>
      <c r="J379">
        <v>77</v>
      </c>
      <c r="K379">
        <v>2.6</v>
      </c>
      <c r="L379">
        <v>7.54</v>
      </c>
      <c r="M379">
        <v>7.74</v>
      </c>
    </row>
    <row r="380" spans="1:13" x14ac:dyDescent="0.2">
      <c r="A380" t="s">
        <v>391</v>
      </c>
      <c r="B380">
        <v>18</v>
      </c>
      <c r="C380" t="s">
        <v>17</v>
      </c>
      <c r="D380">
        <v>6.2</v>
      </c>
      <c r="E380">
        <v>2.5</v>
      </c>
      <c r="G380">
        <v>3.8</v>
      </c>
      <c r="H380">
        <v>1.2</v>
      </c>
      <c r="I380">
        <v>7.1</v>
      </c>
      <c r="J380">
        <v>69</v>
      </c>
      <c r="K380">
        <v>2.2999999999999998</v>
      </c>
      <c r="L380">
        <v>6.75</v>
      </c>
      <c r="M380">
        <v>6.95</v>
      </c>
    </row>
    <row r="381" spans="1:13" x14ac:dyDescent="0.2">
      <c r="A381" t="s">
        <v>392</v>
      </c>
      <c r="B381">
        <v>22</v>
      </c>
      <c r="C381" t="s">
        <v>17</v>
      </c>
      <c r="D381">
        <v>5.3</v>
      </c>
      <c r="E381">
        <v>2.1</v>
      </c>
      <c r="G381">
        <v>4.7</v>
      </c>
      <c r="H381">
        <v>1.1000000000000001</v>
      </c>
      <c r="I381">
        <v>8.1</v>
      </c>
      <c r="J381">
        <v>90</v>
      </c>
      <c r="K381">
        <v>3</v>
      </c>
      <c r="L381">
        <v>8.8000000000000007</v>
      </c>
      <c r="M381">
        <v>9</v>
      </c>
    </row>
    <row r="382" spans="1:13" x14ac:dyDescent="0.2">
      <c r="A382" t="s">
        <v>393</v>
      </c>
      <c r="B382">
        <v>23</v>
      </c>
      <c r="C382" t="s">
        <v>17</v>
      </c>
      <c r="D382">
        <v>5</v>
      </c>
      <c r="E382">
        <v>2</v>
      </c>
      <c r="G382">
        <v>5</v>
      </c>
      <c r="H382">
        <v>1</v>
      </c>
      <c r="I382">
        <v>7.7</v>
      </c>
      <c r="J382">
        <v>90</v>
      </c>
      <c r="K382">
        <v>3</v>
      </c>
      <c r="L382">
        <v>8.8800000000000008</v>
      </c>
      <c r="M382">
        <v>9.08</v>
      </c>
    </row>
    <row r="383" spans="1:13" x14ac:dyDescent="0.2">
      <c r="A383" t="s">
        <v>394</v>
      </c>
      <c r="B383">
        <v>18</v>
      </c>
      <c r="C383" t="s">
        <v>17</v>
      </c>
      <c r="D383">
        <v>9.6999999999999993</v>
      </c>
      <c r="E383">
        <v>3.9</v>
      </c>
      <c r="G383">
        <v>0.3</v>
      </c>
      <c r="H383">
        <v>1.9</v>
      </c>
      <c r="I383">
        <v>5.8</v>
      </c>
      <c r="J383">
        <v>57</v>
      </c>
      <c r="K383">
        <v>1.9</v>
      </c>
      <c r="L383">
        <v>5.56</v>
      </c>
      <c r="M383">
        <v>5.76</v>
      </c>
    </row>
    <row r="384" spans="1:13" x14ac:dyDescent="0.2">
      <c r="A384" t="s">
        <v>395</v>
      </c>
      <c r="B384">
        <v>17</v>
      </c>
      <c r="C384" t="s">
        <v>17</v>
      </c>
      <c r="D384">
        <v>4.2</v>
      </c>
      <c r="E384">
        <v>1.7</v>
      </c>
      <c r="G384">
        <v>5.8</v>
      </c>
      <c r="H384">
        <v>0.8</v>
      </c>
      <c r="I384">
        <v>8.1999999999999993</v>
      </c>
      <c r="J384">
        <v>78</v>
      </c>
      <c r="K384">
        <v>2.6</v>
      </c>
      <c r="L384">
        <v>7.6499999999999897</v>
      </c>
      <c r="M384">
        <v>7.85</v>
      </c>
    </row>
    <row r="385" spans="1:13" x14ac:dyDescent="0.2">
      <c r="A385" t="s">
        <v>396</v>
      </c>
      <c r="B385">
        <v>19</v>
      </c>
      <c r="C385" t="s">
        <v>17</v>
      </c>
      <c r="D385">
        <v>5.8</v>
      </c>
      <c r="E385">
        <v>2.2999999999999998</v>
      </c>
      <c r="G385">
        <v>4.2</v>
      </c>
      <c r="H385">
        <v>1.2</v>
      </c>
      <c r="I385">
        <v>7.4</v>
      </c>
      <c r="J385">
        <v>96</v>
      </c>
      <c r="K385">
        <v>3.2</v>
      </c>
      <c r="L385">
        <v>9.48</v>
      </c>
      <c r="M385">
        <v>9.68</v>
      </c>
    </row>
    <row r="386" spans="1:13" x14ac:dyDescent="0.2">
      <c r="A386" t="s">
        <v>397</v>
      </c>
      <c r="B386">
        <v>21</v>
      </c>
      <c r="C386" t="s">
        <v>13</v>
      </c>
      <c r="D386">
        <v>9.1</v>
      </c>
      <c r="E386">
        <v>3.6</v>
      </c>
      <c r="G386">
        <v>0.9</v>
      </c>
      <c r="H386">
        <v>1.8</v>
      </c>
      <c r="I386">
        <v>6.2</v>
      </c>
      <c r="J386">
        <v>57</v>
      </c>
      <c r="K386">
        <v>1.9</v>
      </c>
      <c r="L386">
        <v>5.54</v>
      </c>
      <c r="M386">
        <v>5.74</v>
      </c>
    </row>
    <row r="387" spans="1:13" x14ac:dyDescent="0.2">
      <c r="A387" t="s">
        <v>398</v>
      </c>
      <c r="B387">
        <v>19</v>
      </c>
      <c r="C387" t="s">
        <v>17</v>
      </c>
      <c r="D387">
        <v>4.8</v>
      </c>
      <c r="E387">
        <v>1.9</v>
      </c>
      <c r="G387">
        <v>5.2</v>
      </c>
      <c r="H387">
        <v>1</v>
      </c>
      <c r="I387">
        <v>8.1</v>
      </c>
      <c r="J387">
        <v>79</v>
      </c>
      <c r="K387">
        <v>2.7</v>
      </c>
      <c r="L387">
        <v>7.76</v>
      </c>
      <c r="M387">
        <v>7.96</v>
      </c>
    </row>
    <row r="388" spans="1:13" x14ac:dyDescent="0.2">
      <c r="A388" t="s">
        <v>399</v>
      </c>
      <c r="B388">
        <v>20</v>
      </c>
      <c r="C388" t="s">
        <v>13</v>
      </c>
      <c r="D388">
        <v>8.6999999999999993</v>
      </c>
      <c r="E388">
        <v>3.5</v>
      </c>
      <c r="G388">
        <v>1.3</v>
      </c>
      <c r="H388">
        <v>1.7</v>
      </c>
      <c r="I388">
        <v>5.0999999999999996</v>
      </c>
      <c r="J388">
        <v>55</v>
      </c>
      <c r="K388">
        <v>1.8</v>
      </c>
      <c r="L388">
        <v>5.31</v>
      </c>
      <c r="M388">
        <v>5.51</v>
      </c>
    </row>
    <row r="389" spans="1:13" x14ac:dyDescent="0.2">
      <c r="A389" t="s">
        <v>400</v>
      </c>
      <c r="B389">
        <v>22</v>
      </c>
      <c r="C389" t="s">
        <v>13</v>
      </c>
      <c r="D389">
        <v>6.8</v>
      </c>
      <c r="E389">
        <v>2.7</v>
      </c>
      <c r="G389">
        <v>3.2</v>
      </c>
      <c r="H389">
        <v>1.4</v>
      </c>
      <c r="I389">
        <v>6.4</v>
      </c>
      <c r="J389">
        <v>68</v>
      </c>
      <c r="K389">
        <v>2.2999999999999998</v>
      </c>
      <c r="L389">
        <v>6.62</v>
      </c>
      <c r="M389">
        <v>6.82</v>
      </c>
    </row>
    <row r="390" spans="1:13" x14ac:dyDescent="0.2">
      <c r="A390" t="s">
        <v>401</v>
      </c>
      <c r="B390">
        <v>22</v>
      </c>
      <c r="C390" t="s">
        <v>17</v>
      </c>
      <c r="D390">
        <v>5.7</v>
      </c>
      <c r="E390">
        <v>2.2999999999999998</v>
      </c>
      <c r="G390">
        <v>4.3</v>
      </c>
      <c r="H390">
        <v>1.1000000000000001</v>
      </c>
      <c r="I390">
        <v>8.1999999999999993</v>
      </c>
      <c r="J390">
        <v>83</v>
      </c>
      <c r="K390">
        <v>2.8</v>
      </c>
      <c r="L390">
        <v>8.15</v>
      </c>
      <c r="M390">
        <v>8.35</v>
      </c>
    </row>
    <row r="391" spans="1:13" x14ac:dyDescent="0.2">
      <c r="A391" t="s">
        <v>402</v>
      </c>
      <c r="B391">
        <v>24</v>
      </c>
      <c r="C391" t="s">
        <v>17</v>
      </c>
      <c r="D391">
        <v>6.7</v>
      </c>
      <c r="E391">
        <v>2.7</v>
      </c>
      <c r="G391">
        <v>3.3</v>
      </c>
      <c r="H391">
        <v>1.3</v>
      </c>
      <c r="I391">
        <v>6.1</v>
      </c>
      <c r="J391">
        <v>77</v>
      </c>
      <c r="K391">
        <v>2.6</v>
      </c>
      <c r="L391">
        <v>7.53</v>
      </c>
      <c r="M391">
        <v>7.73</v>
      </c>
    </row>
    <row r="392" spans="1:13" x14ac:dyDescent="0.2">
      <c r="A392" t="s">
        <v>403</v>
      </c>
      <c r="B392">
        <v>18</v>
      </c>
      <c r="C392" t="s">
        <v>17</v>
      </c>
      <c r="D392">
        <v>4.4000000000000004</v>
      </c>
      <c r="E392">
        <v>1.8</v>
      </c>
      <c r="G392">
        <v>5.6</v>
      </c>
      <c r="H392">
        <v>0.9</v>
      </c>
      <c r="I392">
        <v>7.2</v>
      </c>
      <c r="J392">
        <v>96</v>
      </c>
      <c r="K392">
        <v>3.2</v>
      </c>
      <c r="L392">
        <v>9.41</v>
      </c>
      <c r="M392">
        <v>9.61</v>
      </c>
    </row>
    <row r="393" spans="1:13" x14ac:dyDescent="0.2">
      <c r="A393" t="s">
        <v>404</v>
      </c>
      <c r="B393">
        <v>20</v>
      </c>
      <c r="C393" t="s">
        <v>13</v>
      </c>
      <c r="D393">
        <v>8.6</v>
      </c>
      <c r="E393">
        <v>3.4</v>
      </c>
      <c r="G393">
        <v>1.4</v>
      </c>
      <c r="H393">
        <v>1.7</v>
      </c>
      <c r="I393">
        <v>5.4</v>
      </c>
      <c r="J393">
        <v>56</v>
      </c>
      <c r="K393">
        <v>1.9</v>
      </c>
      <c r="L393">
        <v>5.41</v>
      </c>
      <c r="M393">
        <v>5.61</v>
      </c>
    </row>
    <row r="394" spans="1:13" x14ac:dyDescent="0.2">
      <c r="A394" t="s">
        <v>405</v>
      </c>
      <c r="B394">
        <v>25</v>
      </c>
      <c r="C394" t="s">
        <v>17</v>
      </c>
      <c r="D394">
        <v>7.4</v>
      </c>
      <c r="E394">
        <v>3</v>
      </c>
      <c r="G394">
        <v>2.6</v>
      </c>
      <c r="H394">
        <v>1.5</v>
      </c>
      <c r="I394">
        <v>6.1</v>
      </c>
      <c r="J394">
        <v>79</v>
      </c>
      <c r="K394">
        <v>2.6</v>
      </c>
      <c r="L394">
        <v>7.72</v>
      </c>
      <c r="M394">
        <v>7.92</v>
      </c>
    </row>
    <row r="395" spans="1:13" x14ac:dyDescent="0.2">
      <c r="A395" t="s">
        <v>406</v>
      </c>
      <c r="B395">
        <v>21</v>
      </c>
      <c r="C395" t="s">
        <v>13</v>
      </c>
      <c r="D395">
        <v>9.9</v>
      </c>
      <c r="E395">
        <v>4</v>
      </c>
      <c r="G395">
        <v>0.1</v>
      </c>
      <c r="H395">
        <v>2</v>
      </c>
      <c r="I395">
        <v>6</v>
      </c>
      <c r="J395">
        <v>58</v>
      </c>
      <c r="K395">
        <v>1.9</v>
      </c>
      <c r="L395">
        <v>5.63</v>
      </c>
      <c r="M395">
        <v>5.83</v>
      </c>
    </row>
    <row r="396" spans="1:13" x14ac:dyDescent="0.2">
      <c r="A396" t="s">
        <v>407</v>
      </c>
      <c r="B396">
        <v>25</v>
      </c>
      <c r="C396" t="s">
        <v>17</v>
      </c>
      <c r="D396">
        <v>6</v>
      </c>
      <c r="E396">
        <v>2.4</v>
      </c>
      <c r="G396">
        <v>4</v>
      </c>
      <c r="H396">
        <v>1.2</v>
      </c>
      <c r="I396">
        <v>7.4</v>
      </c>
      <c r="J396">
        <v>71</v>
      </c>
      <c r="K396">
        <v>2.4</v>
      </c>
      <c r="L396">
        <v>6.97</v>
      </c>
      <c r="M396">
        <v>7.17</v>
      </c>
    </row>
    <row r="397" spans="1:13" x14ac:dyDescent="0.2">
      <c r="A397" t="s">
        <v>408</v>
      </c>
      <c r="B397">
        <v>22</v>
      </c>
      <c r="C397" t="s">
        <v>17</v>
      </c>
      <c r="D397">
        <v>4.9000000000000004</v>
      </c>
      <c r="E397">
        <v>2</v>
      </c>
      <c r="G397">
        <v>5.0999999999999996</v>
      </c>
      <c r="H397">
        <v>1</v>
      </c>
      <c r="I397">
        <v>7.4</v>
      </c>
      <c r="J397">
        <v>82</v>
      </c>
      <c r="K397">
        <v>2.8</v>
      </c>
      <c r="L397">
        <v>8.0500000000000007</v>
      </c>
      <c r="M397">
        <v>8.25</v>
      </c>
    </row>
    <row r="398" spans="1:13" x14ac:dyDescent="0.2">
      <c r="A398" t="s">
        <v>409</v>
      </c>
      <c r="B398">
        <v>25</v>
      </c>
      <c r="C398" t="s">
        <v>17</v>
      </c>
      <c r="D398">
        <v>7.3</v>
      </c>
      <c r="E398">
        <v>2.9</v>
      </c>
      <c r="G398">
        <v>2.7</v>
      </c>
      <c r="H398">
        <v>1.5</v>
      </c>
      <c r="I398">
        <v>6.3</v>
      </c>
      <c r="J398">
        <v>79</v>
      </c>
      <c r="K398">
        <v>2.7</v>
      </c>
      <c r="L398">
        <v>7.78</v>
      </c>
      <c r="M398">
        <v>7.98</v>
      </c>
    </row>
    <row r="399" spans="1:13" x14ac:dyDescent="0.2">
      <c r="A399" t="s">
        <v>410</v>
      </c>
      <c r="B399">
        <v>18</v>
      </c>
      <c r="C399" t="s">
        <v>17</v>
      </c>
      <c r="D399">
        <v>8.1999999999999993</v>
      </c>
      <c r="E399">
        <v>3.3</v>
      </c>
      <c r="G399">
        <v>1.8</v>
      </c>
      <c r="H399">
        <v>1.6</v>
      </c>
      <c r="I399">
        <v>5.0999999999999996</v>
      </c>
      <c r="J399">
        <v>62</v>
      </c>
      <c r="K399">
        <v>2.1</v>
      </c>
      <c r="L399">
        <v>6.01</v>
      </c>
      <c r="M399">
        <v>6.21</v>
      </c>
    </row>
    <row r="400" spans="1:13" x14ac:dyDescent="0.2">
      <c r="A400" t="s">
        <v>411</v>
      </c>
      <c r="B400">
        <v>18</v>
      </c>
      <c r="C400" t="s">
        <v>13</v>
      </c>
      <c r="D400">
        <v>6.6</v>
      </c>
      <c r="E400">
        <v>2.6</v>
      </c>
      <c r="G400">
        <v>3.4</v>
      </c>
      <c r="H400">
        <v>1.3</v>
      </c>
      <c r="I400">
        <v>7</v>
      </c>
      <c r="J400">
        <v>69</v>
      </c>
      <c r="K400">
        <v>2.2999999999999998</v>
      </c>
      <c r="L400">
        <v>6.77</v>
      </c>
      <c r="M400">
        <v>6.97</v>
      </c>
    </row>
    <row r="401" spans="1:13" x14ac:dyDescent="0.2">
      <c r="A401" t="s">
        <v>412</v>
      </c>
      <c r="B401">
        <v>24</v>
      </c>
      <c r="C401" t="s">
        <v>17</v>
      </c>
      <c r="D401">
        <v>6.8</v>
      </c>
      <c r="E401">
        <v>2.7</v>
      </c>
      <c r="G401">
        <v>3.2</v>
      </c>
      <c r="H401">
        <v>1.4</v>
      </c>
      <c r="I401">
        <v>7</v>
      </c>
      <c r="J401">
        <v>72</v>
      </c>
      <c r="K401">
        <v>2.4</v>
      </c>
      <c r="L401">
        <v>7.09</v>
      </c>
      <c r="M401">
        <v>7.29</v>
      </c>
    </row>
    <row r="402" spans="1:13" x14ac:dyDescent="0.2">
      <c r="A402" t="s">
        <v>413</v>
      </c>
      <c r="B402">
        <v>17</v>
      </c>
      <c r="C402" t="s">
        <v>13</v>
      </c>
      <c r="D402">
        <v>7.1</v>
      </c>
      <c r="E402">
        <v>2.8</v>
      </c>
      <c r="G402">
        <v>2.9</v>
      </c>
      <c r="H402">
        <v>1.4</v>
      </c>
      <c r="I402">
        <v>6.7</v>
      </c>
      <c r="J402">
        <v>77</v>
      </c>
      <c r="K402">
        <v>2.6</v>
      </c>
      <c r="L402">
        <v>7.5699999999999896</v>
      </c>
      <c r="M402">
        <v>7.77</v>
      </c>
    </row>
    <row r="403" spans="1:13" x14ac:dyDescent="0.2">
      <c r="A403" t="s">
        <v>414</v>
      </c>
      <c r="B403">
        <v>20</v>
      </c>
      <c r="C403" t="s">
        <v>13</v>
      </c>
      <c r="D403">
        <v>6</v>
      </c>
      <c r="E403">
        <v>2.4</v>
      </c>
      <c r="G403">
        <v>4</v>
      </c>
      <c r="H403">
        <v>1.2</v>
      </c>
      <c r="I403">
        <v>6.8</v>
      </c>
      <c r="J403">
        <v>78</v>
      </c>
      <c r="K403">
        <v>2.6</v>
      </c>
      <c r="L403">
        <v>7.6499999999999897</v>
      </c>
      <c r="M403">
        <v>7.85</v>
      </c>
    </row>
    <row r="404" spans="1:13" x14ac:dyDescent="0.2">
      <c r="A404" t="s">
        <v>415</v>
      </c>
      <c r="B404">
        <v>25</v>
      </c>
      <c r="C404" t="s">
        <v>13</v>
      </c>
      <c r="D404">
        <v>4.0999999999999996</v>
      </c>
      <c r="E404">
        <v>1.6</v>
      </c>
      <c r="G404">
        <v>5.9</v>
      </c>
      <c r="H404">
        <v>0.8</v>
      </c>
      <c r="I404">
        <v>8</v>
      </c>
      <c r="J404">
        <v>80</v>
      </c>
      <c r="K404">
        <v>2.7</v>
      </c>
      <c r="L404">
        <v>7.85</v>
      </c>
      <c r="M404">
        <v>8.0500000000000007</v>
      </c>
    </row>
    <row r="405" spans="1:13" x14ac:dyDescent="0.2">
      <c r="A405" t="s">
        <v>416</v>
      </c>
      <c r="B405">
        <v>24</v>
      </c>
      <c r="C405" t="s">
        <v>13</v>
      </c>
      <c r="D405">
        <v>9.9</v>
      </c>
      <c r="E405">
        <v>4</v>
      </c>
      <c r="G405">
        <v>0.1</v>
      </c>
      <c r="H405">
        <v>2</v>
      </c>
      <c r="I405">
        <v>5</v>
      </c>
      <c r="J405">
        <v>65</v>
      </c>
      <c r="K405">
        <v>2.2000000000000002</v>
      </c>
      <c r="L405">
        <v>6.3</v>
      </c>
      <c r="M405">
        <v>6.5</v>
      </c>
    </row>
    <row r="406" spans="1:13" x14ac:dyDescent="0.2">
      <c r="A406" t="s">
        <v>417</v>
      </c>
      <c r="B406">
        <v>22</v>
      </c>
      <c r="C406" t="s">
        <v>17</v>
      </c>
      <c r="D406">
        <v>6.1</v>
      </c>
      <c r="E406">
        <v>2.4</v>
      </c>
      <c r="G406">
        <v>3.9</v>
      </c>
      <c r="H406">
        <v>1.2</v>
      </c>
      <c r="I406">
        <v>6.6</v>
      </c>
      <c r="J406">
        <v>71</v>
      </c>
      <c r="K406">
        <v>2.4</v>
      </c>
      <c r="L406">
        <v>6.9399999999999897</v>
      </c>
      <c r="M406">
        <v>7.14</v>
      </c>
    </row>
    <row r="407" spans="1:13" x14ac:dyDescent="0.2">
      <c r="A407" t="s">
        <v>418</v>
      </c>
      <c r="B407">
        <v>21</v>
      </c>
      <c r="C407" t="s">
        <v>17</v>
      </c>
      <c r="D407">
        <v>7.9</v>
      </c>
      <c r="E407">
        <v>3.2</v>
      </c>
      <c r="G407">
        <v>2.1</v>
      </c>
      <c r="H407">
        <v>1.6</v>
      </c>
      <c r="I407">
        <v>6.6</v>
      </c>
      <c r="J407">
        <v>77</v>
      </c>
      <c r="K407">
        <v>2.6</v>
      </c>
      <c r="L407">
        <v>7.59</v>
      </c>
      <c r="M407">
        <v>7.79</v>
      </c>
    </row>
    <row r="408" spans="1:13" x14ac:dyDescent="0.2">
      <c r="A408" t="s">
        <v>419</v>
      </c>
      <c r="B408">
        <v>20</v>
      </c>
      <c r="C408" t="s">
        <v>17</v>
      </c>
      <c r="D408">
        <v>5.2</v>
      </c>
      <c r="E408">
        <v>2.1</v>
      </c>
      <c r="G408">
        <v>4.8</v>
      </c>
      <c r="H408">
        <v>1</v>
      </c>
      <c r="I408">
        <v>7.1</v>
      </c>
      <c r="J408">
        <v>81</v>
      </c>
      <c r="K408">
        <v>2.7</v>
      </c>
      <c r="L408">
        <v>7.97</v>
      </c>
      <c r="M408">
        <v>8.17</v>
      </c>
    </row>
    <row r="409" spans="1:13" x14ac:dyDescent="0.2">
      <c r="A409" t="s">
        <v>420</v>
      </c>
      <c r="B409">
        <v>18</v>
      </c>
      <c r="C409" t="s">
        <v>13</v>
      </c>
      <c r="D409">
        <v>7.8</v>
      </c>
      <c r="E409">
        <v>3.1</v>
      </c>
      <c r="G409">
        <v>2.2000000000000002</v>
      </c>
      <c r="H409">
        <v>1.6</v>
      </c>
      <c r="I409">
        <v>6.6</v>
      </c>
      <c r="J409">
        <v>77</v>
      </c>
      <c r="K409">
        <v>2.6</v>
      </c>
      <c r="L409">
        <v>7.56</v>
      </c>
      <c r="M409">
        <v>7.76</v>
      </c>
    </row>
    <row r="410" spans="1:13" x14ac:dyDescent="0.2">
      <c r="A410" t="s">
        <v>421</v>
      </c>
      <c r="B410">
        <v>19</v>
      </c>
      <c r="C410" t="s">
        <v>17</v>
      </c>
      <c r="D410">
        <v>6.7</v>
      </c>
      <c r="E410">
        <v>2.7</v>
      </c>
      <c r="G410">
        <v>3.3</v>
      </c>
      <c r="H410">
        <v>1.3</v>
      </c>
      <c r="I410">
        <v>6.2</v>
      </c>
      <c r="J410">
        <v>74</v>
      </c>
      <c r="K410">
        <v>2.5</v>
      </c>
      <c r="L410">
        <v>7.27</v>
      </c>
      <c r="M410">
        <v>7.47</v>
      </c>
    </row>
    <row r="411" spans="1:13" x14ac:dyDescent="0.2">
      <c r="A411" t="s">
        <v>422</v>
      </c>
      <c r="B411">
        <v>23</v>
      </c>
      <c r="C411" t="s">
        <v>13</v>
      </c>
      <c r="D411">
        <v>5.7</v>
      </c>
      <c r="E411">
        <v>2.2999999999999998</v>
      </c>
      <c r="G411">
        <v>4.3</v>
      </c>
      <c r="H411">
        <v>1.1000000000000001</v>
      </c>
      <c r="I411">
        <v>7.2</v>
      </c>
      <c r="J411">
        <v>97</v>
      </c>
      <c r="K411">
        <v>3.3</v>
      </c>
      <c r="L411">
        <v>9.57</v>
      </c>
      <c r="M411">
        <v>9.77</v>
      </c>
    </row>
    <row r="412" spans="1:13" x14ac:dyDescent="0.2">
      <c r="A412" t="s">
        <v>423</v>
      </c>
      <c r="B412">
        <v>20</v>
      </c>
      <c r="C412" t="s">
        <v>13</v>
      </c>
      <c r="D412">
        <v>6.2</v>
      </c>
      <c r="E412">
        <v>2.5</v>
      </c>
      <c r="G412">
        <v>3.8</v>
      </c>
      <c r="H412">
        <v>1.2</v>
      </c>
      <c r="I412">
        <v>7.2</v>
      </c>
      <c r="J412">
        <v>76</v>
      </c>
      <c r="K412">
        <v>2.6</v>
      </c>
      <c r="L412">
        <v>7.4799999999999898</v>
      </c>
      <c r="M412">
        <v>7.68</v>
      </c>
    </row>
    <row r="413" spans="1:13" x14ac:dyDescent="0.2">
      <c r="A413" t="s">
        <v>424</v>
      </c>
      <c r="B413">
        <v>17</v>
      </c>
      <c r="C413" t="s">
        <v>17</v>
      </c>
      <c r="D413">
        <v>7.7</v>
      </c>
      <c r="E413">
        <v>3.1</v>
      </c>
      <c r="G413">
        <v>2.2999999999999998</v>
      </c>
      <c r="H413">
        <v>1.5</v>
      </c>
      <c r="I413">
        <v>7.3</v>
      </c>
      <c r="J413">
        <v>69</v>
      </c>
      <c r="K413">
        <v>2.2999999999999998</v>
      </c>
      <c r="L413">
        <v>6.7</v>
      </c>
      <c r="M413">
        <v>6.9</v>
      </c>
    </row>
    <row r="414" spans="1:13" x14ac:dyDescent="0.2">
      <c r="A414" t="s">
        <v>425</v>
      </c>
      <c r="B414">
        <v>20</v>
      </c>
      <c r="C414" t="s">
        <v>13</v>
      </c>
      <c r="D414">
        <v>6.9</v>
      </c>
      <c r="E414">
        <v>2.8</v>
      </c>
      <c r="G414">
        <v>3.1</v>
      </c>
      <c r="H414">
        <v>1.4</v>
      </c>
      <c r="I414">
        <v>7.1</v>
      </c>
      <c r="J414">
        <v>69</v>
      </c>
      <c r="K414">
        <v>2.2999999999999998</v>
      </c>
      <c r="L414">
        <v>6.75</v>
      </c>
      <c r="M414">
        <v>6.95</v>
      </c>
    </row>
    <row r="415" spans="1:13" x14ac:dyDescent="0.2">
      <c r="A415" t="s">
        <v>426</v>
      </c>
      <c r="B415">
        <v>25</v>
      </c>
      <c r="C415" t="s">
        <v>17</v>
      </c>
      <c r="D415">
        <v>9.3000000000000007</v>
      </c>
      <c r="E415">
        <v>3.7</v>
      </c>
      <c r="G415">
        <v>0.7</v>
      </c>
      <c r="H415">
        <v>1.9</v>
      </c>
      <c r="I415">
        <v>5.2</v>
      </c>
      <c r="J415">
        <v>60</v>
      </c>
      <c r="K415">
        <v>2</v>
      </c>
      <c r="L415">
        <v>5.8599999999999897</v>
      </c>
      <c r="M415">
        <v>6.06</v>
      </c>
    </row>
    <row r="416" spans="1:13" x14ac:dyDescent="0.2">
      <c r="A416" t="s">
        <v>427</v>
      </c>
      <c r="B416">
        <v>19</v>
      </c>
      <c r="C416" t="s">
        <v>17</v>
      </c>
      <c r="D416">
        <v>7.2</v>
      </c>
      <c r="E416">
        <v>2.9</v>
      </c>
      <c r="G416">
        <v>2.8</v>
      </c>
      <c r="H416">
        <v>1.4</v>
      </c>
      <c r="I416">
        <v>7.3</v>
      </c>
      <c r="J416">
        <v>76</v>
      </c>
      <c r="K416">
        <v>2.6</v>
      </c>
      <c r="L416">
        <v>7.46</v>
      </c>
      <c r="M416">
        <v>7.66</v>
      </c>
    </row>
    <row r="417" spans="1:13" x14ac:dyDescent="0.2">
      <c r="A417" t="s">
        <v>428</v>
      </c>
      <c r="B417">
        <v>19</v>
      </c>
      <c r="C417" t="s">
        <v>13</v>
      </c>
      <c r="D417">
        <v>6</v>
      </c>
      <c r="E417">
        <v>2.4</v>
      </c>
      <c r="G417">
        <v>4</v>
      </c>
      <c r="H417">
        <v>1.2</v>
      </c>
      <c r="I417">
        <v>7.4</v>
      </c>
      <c r="J417">
        <v>71</v>
      </c>
      <c r="K417">
        <v>2.4</v>
      </c>
      <c r="L417">
        <v>6.96</v>
      </c>
      <c r="M417">
        <v>7.16</v>
      </c>
    </row>
    <row r="418" spans="1:13" x14ac:dyDescent="0.2">
      <c r="A418" t="s">
        <v>429</v>
      </c>
      <c r="B418">
        <v>21</v>
      </c>
      <c r="C418" t="s">
        <v>13</v>
      </c>
      <c r="D418">
        <v>5.9</v>
      </c>
      <c r="E418">
        <v>2.4</v>
      </c>
      <c r="G418">
        <v>4.0999999999999996</v>
      </c>
      <c r="H418">
        <v>1.2</v>
      </c>
      <c r="I418">
        <v>8.1999999999999993</v>
      </c>
      <c r="J418">
        <v>87</v>
      </c>
      <c r="K418">
        <v>2.9</v>
      </c>
      <c r="L418">
        <v>8.5399999999999991</v>
      </c>
      <c r="M418">
        <v>8.74</v>
      </c>
    </row>
    <row r="419" spans="1:13" x14ac:dyDescent="0.2">
      <c r="A419" t="s">
        <v>430</v>
      </c>
      <c r="B419">
        <v>21</v>
      </c>
      <c r="C419" t="s">
        <v>13</v>
      </c>
      <c r="D419">
        <v>7</v>
      </c>
      <c r="E419">
        <v>2.8</v>
      </c>
      <c r="G419">
        <v>3</v>
      </c>
      <c r="H419">
        <v>1.4</v>
      </c>
      <c r="I419">
        <v>6.5</v>
      </c>
      <c r="J419">
        <v>77</v>
      </c>
      <c r="K419">
        <v>2.6</v>
      </c>
      <c r="L419">
        <v>7.59</v>
      </c>
      <c r="M419">
        <v>7.79</v>
      </c>
    </row>
    <row r="420" spans="1:13" x14ac:dyDescent="0.2">
      <c r="A420" t="s">
        <v>431</v>
      </c>
      <c r="B420">
        <v>18</v>
      </c>
      <c r="C420" t="s">
        <v>17</v>
      </c>
      <c r="D420">
        <v>9</v>
      </c>
      <c r="E420">
        <v>3.6</v>
      </c>
      <c r="G420">
        <v>1</v>
      </c>
      <c r="H420">
        <v>1.8</v>
      </c>
      <c r="I420">
        <v>5.4</v>
      </c>
      <c r="J420">
        <v>56</v>
      </c>
      <c r="K420">
        <v>1.9</v>
      </c>
      <c r="L420">
        <v>5.43</v>
      </c>
      <c r="M420">
        <v>5.63</v>
      </c>
    </row>
    <row r="421" spans="1:13" x14ac:dyDescent="0.2">
      <c r="A421" t="s">
        <v>432</v>
      </c>
      <c r="B421">
        <v>22</v>
      </c>
      <c r="C421" t="s">
        <v>17</v>
      </c>
      <c r="D421">
        <v>8.4</v>
      </c>
      <c r="E421">
        <v>3.4</v>
      </c>
      <c r="G421">
        <v>1.6</v>
      </c>
      <c r="H421">
        <v>1.7</v>
      </c>
      <c r="I421">
        <v>5.9</v>
      </c>
      <c r="J421">
        <v>57</v>
      </c>
      <c r="K421">
        <v>1.9</v>
      </c>
      <c r="L421">
        <v>5.55</v>
      </c>
      <c r="M421">
        <v>5.75</v>
      </c>
    </row>
    <row r="422" spans="1:13" x14ac:dyDescent="0.2">
      <c r="A422" t="s">
        <v>433</v>
      </c>
      <c r="B422">
        <v>17</v>
      </c>
      <c r="C422" t="s">
        <v>13</v>
      </c>
      <c r="D422">
        <v>9</v>
      </c>
      <c r="E422">
        <v>3.6</v>
      </c>
      <c r="G422">
        <v>1</v>
      </c>
      <c r="H422">
        <v>1.8</v>
      </c>
      <c r="I422">
        <v>6.5</v>
      </c>
      <c r="J422">
        <v>61</v>
      </c>
      <c r="K422">
        <v>2</v>
      </c>
      <c r="L422">
        <v>5.91</v>
      </c>
      <c r="M422">
        <v>6.11</v>
      </c>
    </row>
    <row r="423" spans="1:13" x14ac:dyDescent="0.2">
      <c r="A423" t="s">
        <v>434</v>
      </c>
      <c r="B423">
        <v>23</v>
      </c>
      <c r="C423" t="s">
        <v>13</v>
      </c>
      <c r="D423">
        <v>8.4</v>
      </c>
      <c r="E423">
        <v>3.4</v>
      </c>
      <c r="G423">
        <v>1.6</v>
      </c>
      <c r="H423">
        <v>1.7</v>
      </c>
      <c r="I423">
        <v>5.5</v>
      </c>
      <c r="J423">
        <v>56</v>
      </c>
      <c r="K423">
        <v>1.9</v>
      </c>
      <c r="L423">
        <v>5.4399999999999897</v>
      </c>
      <c r="M423">
        <v>5.64</v>
      </c>
    </row>
    <row r="424" spans="1:13" x14ac:dyDescent="0.2">
      <c r="A424" t="s">
        <v>435</v>
      </c>
      <c r="B424">
        <v>19</v>
      </c>
      <c r="C424" t="s">
        <v>13</v>
      </c>
      <c r="D424">
        <v>9.1</v>
      </c>
      <c r="E424">
        <v>3.6</v>
      </c>
      <c r="G424">
        <v>0.9</v>
      </c>
      <c r="H424">
        <v>1.8</v>
      </c>
      <c r="I424">
        <v>6.3</v>
      </c>
      <c r="J424">
        <v>58</v>
      </c>
      <c r="K424">
        <v>1.9</v>
      </c>
      <c r="L424">
        <v>5.6</v>
      </c>
      <c r="M424">
        <v>5.8</v>
      </c>
    </row>
    <row r="425" spans="1:13" x14ac:dyDescent="0.2">
      <c r="A425" t="s">
        <v>436</v>
      </c>
      <c r="B425">
        <v>19</v>
      </c>
      <c r="C425" t="s">
        <v>17</v>
      </c>
      <c r="D425">
        <v>9.1999999999999993</v>
      </c>
      <c r="E425">
        <v>3.7</v>
      </c>
      <c r="G425">
        <v>0.8</v>
      </c>
      <c r="H425">
        <v>1.8</v>
      </c>
      <c r="I425">
        <v>5.5</v>
      </c>
      <c r="J425">
        <v>57</v>
      </c>
      <c r="K425">
        <v>1.9</v>
      </c>
      <c r="L425">
        <v>5.58</v>
      </c>
      <c r="M425">
        <v>5.78</v>
      </c>
    </row>
    <row r="426" spans="1:13" x14ac:dyDescent="0.2">
      <c r="A426" t="s">
        <v>437</v>
      </c>
      <c r="B426">
        <v>23</v>
      </c>
      <c r="C426" t="s">
        <v>17</v>
      </c>
      <c r="D426">
        <v>5.8</v>
      </c>
      <c r="E426">
        <v>2.2999999999999998</v>
      </c>
      <c r="G426">
        <v>4.2</v>
      </c>
      <c r="H426">
        <v>1.2</v>
      </c>
      <c r="I426">
        <v>8.4</v>
      </c>
      <c r="J426">
        <v>91</v>
      </c>
      <c r="K426">
        <v>3</v>
      </c>
      <c r="L426">
        <v>8.91</v>
      </c>
      <c r="M426">
        <v>9.11</v>
      </c>
    </row>
    <row r="427" spans="1:13" x14ac:dyDescent="0.2">
      <c r="A427" t="s">
        <v>438</v>
      </c>
      <c r="B427">
        <v>22</v>
      </c>
      <c r="C427" t="s">
        <v>17</v>
      </c>
      <c r="D427">
        <v>8.6999999999999993</v>
      </c>
      <c r="E427">
        <v>3.5</v>
      </c>
      <c r="G427">
        <v>1.3</v>
      </c>
      <c r="H427">
        <v>1.7</v>
      </c>
      <c r="I427">
        <v>5.4</v>
      </c>
      <c r="J427">
        <v>63</v>
      </c>
      <c r="K427">
        <v>2.1</v>
      </c>
      <c r="L427">
        <v>6.16</v>
      </c>
      <c r="M427">
        <v>6.36</v>
      </c>
    </row>
    <row r="428" spans="1:13" x14ac:dyDescent="0.2">
      <c r="A428" t="s">
        <v>439</v>
      </c>
      <c r="B428">
        <v>20</v>
      </c>
      <c r="C428" t="s">
        <v>17</v>
      </c>
      <c r="D428">
        <v>4</v>
      </c>
      <c r="E428">
        <v>1.6</v>
      </c>
      <c r="G428">
        <v>6</v>
      </c>
      <c r="H428">
        <v>0.8</v>
      </c>
      <c r="I428">
        <v>7.6</v>
      </c>
      <c r="J428">
        <v>81</v>
      </c>
      <c r="K428">
        <v>2.7</v>
      </c>
      <c r="L428">
        <v>7.94</v>
      </c>
      <c r="M428">
        <v>8.14</v>
      </c>
    </row>
    <row r="429" spans="1:13" x14ac:dyDescent="0.2">
      <c r="A429" t="s">
        <v>440</v>
      </c>
      <c r="B429">
        <v>17</v>
      </c>
      <c r="C429" t="s">
        <v>17</v>
      </c>
      <c r="D429">
        <v>7.3</v>
      </c>
      <c r="E429">
        <v>2.9</v>
      </c>
      <c r="G429">
        <v>2.7</v>
      </c>
      <c r="H429">
        <v>1.5</v>
      </c>
      <c r="I429">
        <v>7.5</v>
      </c>
      <c r="J429">
        <v>72</v>
      </c>
      <c r="K429">
        <v>2.4</v>
      </c>
      <c r="L429">
        <v>7.06</v>
      </c>
      <c r="M429">
        <v>7.26</v>
      </c>
    </row>
    <row r="430" spans="1:13" x14ac:dyDescent="0.2">
      <c r="A430" t="s">
        <v>441</v>
      </c>
      <c r="B430">
        <v>25</v>
      </c>
      <c r="C430" t="s">
        <v>17</v>
      </c>
      <c r="D430">
        <v>6.5</v>
      </c>
      <c r="E430">
        <v>2.6</v>
      </c>
      <c r="G430">
        <v>3.5</v>
      </c>
      <c r="H430">
        <v>1.3</v>
      </c>
      <c r="I430">
        <v>7.4</v>
      </c>
      <c r="J430">
        <v>68</v>
      </c>
      <c r="K430">
        <v>2.2999999999999998</v>
      </c>
      <c r="L430">
        <v>6.63</v>
      </c>
      <c r="M430">
        <v>6.83</v>
      </c>
    </row>
    <row r="431" spans="1:13" x14ac:dyDescent="0.2">
      <c r="A431" t="s">
        <v>442</v>
      </c>
      <c r="B431">
        <v>23</v>
      </c>
      <c r="C431" t="s">
        <v>13</v>
      </c>
      <c r="D431">
        <v>9.8000000000000007</v>
      </c>
      <c r="E431">
        <v>3.9</v>
      </c>
      <c r="G431">
        <v>0.2</v>
      </c>
      <c r="H431">
        <v>2</v>
      </c>
      <c r="I431">
        <v>6</v>
      </c>
      <c r="J431">
        <v>65</v>
      </c>
      <c r="K431">
        <v>2.2000000000000002</v>
      </c>
      <c r="L431">
        <v>6.37</v>
      </c>
      <c r="M431">
        <v>6.57</v>
      </c>
    </row>
    <row r="433" spans="1:13" x14ac:dyDescent="0.2">
      <c r="A433" t="s">
        <v>443</v>
      </c>
      <c r="B433">
        <v>20</v>
      </c>
      <c r="C433" t="s">
        <v>13</v>
      </c>
      <c r="D433">
        <v>8.4</v>
      </c>
      <c r="E433">
        <v>3.4</v>
      </c>
      <c r="G433">
        <v>1.6</v>
      </c>
      <c r="H433">
        <v>1.7</v>
      </c>
      <c r="I433">
        <v>6.2</v>
      </c>
      <c r="J433">
        <v>59</v>
      </c>
      <c r="K433">
        <v>2</v>
      </c>
      <c r="L433">
        <v>5.7</v>
      </c>
      <c r="M433">
        <v>5.9</v>
      </c>
    </row>
    <row r="434" spans="1:13" x14ac:dyDescent="0.2">
      <c r="A434" t="s">
        <v>444</v>
      </c>
      <c r="B434">
        <v>25</v>
      </c>
      <c r="C434" t="s">
        <v>13</v>
      </c>
      <c r="D434">
        <v>5.3</v>
      </c>
      <c r="E434">
        <v>2.1</v>
      </c>
      <c r="G434">
        <v>4.7</v>
      </c>
      <c r="H434">
        <v>1.1000000000000001</v>
      </c>
      <c r="I434">
        <v>7.1</v>
      </c>
      <c r="J434">
        <v>80</v>
      </c>
      <c r="K434">
        <v>2.7</v>
      </c>
      <c r="L434">
        <v>7.8399999999999901</v>
      </c>
      <c r="M434">
        <v>8.0399999999999991</v>
      </c>
    </row>
    <row r="435" spans="1:13" x14ac:dyDescent="0.2">
      <c r="A435" t="s">
        <v>445</v>
      </c>
      <c r="B435">
        <v>19</v>
      </c>
      <c r="C435" t="s">
        <v>17</v>
      </c>
      <c r="D435">
        <v>7.4</v>
      </c>
      <c r="E435">
        <v>3</v>
      </c>
      <c r="G435">
        <v>2.6</v>
      </c>
      <c r="H435">
        <v>1.5</v>
      </c>
      <c r="I435">
        <v>7.2</v>
      </c>
      <c r="J435">
        <v>71</v>
      </c>
      <c r="K435">
        <v>2.4</v>
      </c>
      <c r="L435">
        <v>6.9399999999999897</v>
      </c>
      <c r="M435">
        <v>7.14</v>
      </c>
    </row>
    <row r="436" spans="1:13" x14ac:dyDescent="0.2">
      <c r="A436" t="s">
        <v>446</v>
      </c>
      <c r="B436">
        <v>24</v>
      </c>
      <c r="C436" t="s">
        <v>13</v>
      </c>
      <c r="D436">
        <v>5.8</v>
      </c>
      <c r="E436">
        <v>2.2999999999999998</v>
      </c>
      <c r="G436">
        <v>4.2</v>
      </c>
      <c r="H436">
        <v>1.2</v>
      </c>
      <c r="I436">
        <v>7.1</v>
      </c>
      <c r="J436">
        <v>92</v>
      </c>
      <c r="K436">
        <v>3.1</v>
      </c>
      <c r="L436">
        <v>9.09</v>
      </c>
      <c r="M436">
        <v>9.2899999999999991</v>
      </c>
    </row>
    <row r="437" spans="1:13" x14ac:dyDescent="0.2">
      <c r="A437" t="s">
        <v>447</v>
      </c>
      <c r="B437">
        <v>17</v>
      </c>
      <c r="C437" t="s">
        <v>13</v>
      </c>
      <c r="D437">
        <v>8</v>
      </c>
      <c r="E437">
        <v>3.2</v>
      </c>
      <c r="G437">
        <v>2</v>
      </c>
      <c r="H437">
        <v>1.6</v>
      </c>
      <c r="I437">
        <v>6.3</v>
      </c>
      <c r="J437">
        <v>62</v>
      </c>
      <c r="K437">
        <v>2.1</v>
      </c>
      <c r="L437">
        <v>6.0699999999999896</v>
      </c>
      <c r="M437">
        <v>6.27</v>
      </c>
    </row>
    <row r="438" spans="1:13" x14ac:dyDescent="0.2">
      <c r="A438" t="s">
        <v>448</v>
      </c>
      <c r="B438">
        <v>21</v>
      </c>
      <c r="C438" t="s">
        <v>17</v>
      </c>
      <c r="D438">
        <v>4.2</v>
      </c>
      <c r="E438">
        <v>1.7</v>
      </c>
      <c r="G438">
        <v>5.8</v>
      </c>
      <c r="H438">
        <v>0.8</v>
      </c>
      <c r="I438">
        <v>8.5</v>
      </c>
      <c r="J438">
        <v>89</v>
      </c>
      <c r="K438">
        <v>3</v>
      </c>
      <c r="L438">
        <v>8.77</v>
      </c>
      <c r="M438">
        <v>8.9700000000000006</v>
      </c>
    </row>
    <row r="439" spans="1:13" x14ac:dyDescent="0.2">
      <c r="A439" t="s">
        <v>449</v>
      </c>
      <c r="B439">
        <v>21</v>
      </c>
      <c r="C439" t="s">
        <v>17</v>
      </c>
      <c r="D439">
        <v>8</v>
      </c>
      <c r="E439">
        <v>3.2</v>
      </c>
      <c r="G439">
        <v>2</v>
      </c>
      <c r="H439">
        <v>1.6</v>
      </c>
      <c r="I439">
        <v>5.3</v>
      </c>
      <c r="J439">
        <v>58</v>
      </c>
      <c r="K439">
        <v>1.9</v>
      </c>
      <c r="L439">
        <v>5.63</v>
      </c>
      <c r="M439">
        <v>5.83</v>
      </c>
    </row>
    <row r="440" spans="1:13" x14ac:dyDescent="0.2">
      <c r="A440" t="s">
        <v>450</v>
      </c>
      <c r="B440">
        <v>24</v>
      </c>
      <c r="C440" t="s">
        <v>13</v>
      </c>
      <c r="D440">
        <v>7.2</v>
      </c>
      <c r="E440">
        <v>2.9</v>
      </c>
      <c r="G440">
        <v>2.8</v>
      </c>
      <c r="H440">
        <v>1.4</v>
      </c>
      <c r="I440">
        <v>7.3</v>
      </c>
      <c r="J440">
        <v>68</v>
      </c>
      <c r="K440">
        <v>2.2999999999999998</v>
      </c>
      <c r="L440">
        <v>6.64</v>
      </c>
      <c r="M440">
        <v>6.84</v>
      </c>
    </row>
    <row r="441" spans="1:13" x14ac:dyDescent="0.2">
      <c r="A441" t="s">
        <v>451</v>
      </c>
      <c r="B441">
        <v>25</v>
      </c>
      <c r="C441" t="s">
        <v>17</v>
      </c>
      <c r="D441">
        <v>7.4</v>
      </c>
      <c r="E441">
        <v>3</v>
      </c>
      <c r="G441">
        <v>2.6</v>
      </c>
      <c r="H441">
        <v>1.5</v>
      </c>
      <c r="I441">
        <v>6.6</v>
      </c>
      <c r="J441">
        <v>74</v>
      </c>
      <c r="K441">
        <v>2.5</v>
      </c>
      <c r="L441">
        <v>7.22</v>
      </c>
      <c r="M441">
        <v>7.42</v>
      </c>
    </row>
    <row r="442" spans="1:13" x14ac:dyDescent="0.2">
      <c r="A442" t="s">
        <v>452</v>
      </c>
      <c r="B442">
        <v>22</v>
      </c>
      <c r="C442" t="s">
        <v>13</v>
      </c>
      <c r="D442">
        <v>9.4</v>
      </c>
      <c r="E442">
        <v>3.8</v>
      </c>
      <c r="G442">
        <v>0.6</v>
      </c>
      <c r="H442">
        <v>1.9</v>
      </c>
      <c r="I442">
        <v>5.9</v>
      </c>
      <c r="J442">
        <v>60</v>
      </c>
      <c r="K442">
        <v>2</v>
      </c>
      <c r="L442">
        <v>5.88</v>
      </c>
      <c r="M442">
        <v>6.08</v>
      </c>
    </row>
    <row r="443" spans="1:13" x14ac:dyDescent="0.2">
      <c r="A443" t="s">
        <v>453</v>
      </c>
      <c r="B443">
        <v>22</v>
      </c>
      <c r="C443" t="s">
        <v>13</v>
      </c>
      <c r="D443">
        <v>8.6999999999999993</v>
      </c>
      <c r="E443">
        <v>3.5</v>
      </c>
      <c r="G443">
        <v>1.3</v>
      </c>
      <c r="H443">
        <v>1.7</v>
      </c>
      <c r="I443">
        <v>6</v>
      </c>
      <c r="J443">
        <v>63</v>
      </c>
      <c r="K443">
        <v>2.1</v>
      </c>
      <c r="L443">
        <v>6.13</v>
      </c>
      <c r="M443">
        <v>6.33</v>
      </c>
    </row>
    <row r="444" spans="1:13" x14ac:dyDescent="0.2">
      <c r="A444" t="s">
        <v>454</v>
      </c>
      <c r="B444">
        <v>23</v>
      </c>
      <c r="C444" t="s">
        <v>17</v>
      </c>
      <c r="D444">
        <v>6.9</v>
      </c>
      <c r="E444">
        <v>2.8</v>
      </c>
      <c r="G444">
        <v>3.1</v>
      </c>
      <c r="H444">
        <v>1.4</v>
      </c>
      <c r="I444">
        <v>7.4</v>
      </c>
      <c r="J444">
        <v>75</v>
      </c>
      <c r="K444">
        <v>2.5</v>
      </c>
      <c r="L444">
        <v>7.38</v>
      </c>
      <c r="M444">
        <v>7.58</v>
      </c>
    </row>
    <row r="445" spans="1:13" x14ac:dyDescent="0.2">
      <c r="A445" t="s">
        <v>455</v>
      </c>
      <c r="B445">
        <v>18</v>
      </c>
      <c r="C445" t="s">
        <v>17</v>
      </c>
      <c r="D445">
        <v>7</v>
      </c>
      <c r="E445">
        <v>2.8</v>
      </c>
      <c r="G445">
        <v>3</v>
      </c>
      <c r="H445">
        <v>1.4</v>
      </c>
      <c r="I445">
        <v>6.1</v>
      </c>
      <c r="J445">
        <v>75</v>
      </c>
      <c r="K445">
        <v>2.5</v>
      </c>
      <c r="L445">
        <v>7.3599999999999897</v>
      </c>
      <c r="M445">
        <v>7.56</v>
      </c>
    </row>
    <row r="446" spans="1:13" x14ac:dyDescent="0.2">
      <c r="A446" t="s">
        <v>456</v>
      </c>
      <c r="B446">
        <v>17</v>
      </c>
      <c r="C446" t="s">
        <v>17</v>
      </c>
      <c r="D446">
        <v>4.2</v>
      </c>
      <c r="E446">
        <v>1.7</v>
      </c>
      <c r="G446">
        <v>5.8</v>
      </c>
      <c r="H446">
        <v>0.8</v>
      </c>
      <c r="I446">
        <v>8.4</v>
      </c>
      <c r="J446">
        <v>90</v>
      </c>
      <c r="K446">
        <v>3</v>
      </c>
      <c r="L446">
        <v>8.81</v>
      </c>
      <c r="M446">
        <v>9.01</v>
      </c>
    </row>
    <row r="447" spans="1:13" x14ac:dyDescent="0.2">
      <c r="A447" t="s">
        <v>457</v>
      </c>
      <c r="B447">
        <v>20</v>
      </c>
      <c r="C447" t="s">
        <v>13</v>
      </c>
      <c r="D447">
        <v>6</v>
      </c>
      <c r="E447">
        <v>2.4</v>
      </c>
      <c r="G447">
        <v>4</v>
      </c>
      <c r="H447">
        <v>1.2</v>
      </c>
      <c r="I447">
        <v>6.3</v>
      </c>
      <c r="J447">
        <v>73</v>
      </c>
      <c r="K447">
        <v>2.5</v>
      </c>
      <c r="L447">
        <v>7.18</v>
      </c>
      <c r="M447">
        <v>7.38</v>
      </c>
    </row>
    <row r="448" spans="1:13" x14ac:dyDescent="0.2">
      <c r="A448" t="s">
        <v>458</v>
      </c>
      <c r="B448">
        <v>24</v>
      </c>
      <c r="C448" t="s">
        <v>17</v>
      </c>
      <c r="D448">
        <v>7.5</v>
      </c>
      <c r="E448">
        <v>3</v>
      </c>
      <c r="G448">
        <v>2.5</v>
      </c>
      <c r="H448">
        <v>1.5</v>
      </c>
      <c r="I448">
        <v>7.3</v>
      </c>
      <c r="J448">
        <v>74</v>
      </c>
      <c r="K448">
        <v>2.5</v>
      </c>
      <c r="L448">
        <v>7.24</v>
      </c>
      <c r="M448">
        <v>7.44</v>
      </c>
    </row>
    <row r="449" spans="1:13" x14ac:dyDescent="0.2">
      <c r="A449" t="s">
        <v>459</v>
      </c>
      <c r="B449">
        <v>17</v>
      </c>
      <c r="C449" t="s">
        <v>13</v>
      </c>
      <c r="D449">
        <v>9.1</v>
      </c>
      <c r="E449">
        <v>3.6</v>
      </c>
      <c r="G449">
        <v>0.9</v>
      </c>
      <c r="H449">
        <v>1.8</v>
      </c>
      <c r="I449">
        <v>5.7</v>
      </c>
      <c r="J449">
        <v>58</v>
      </c>
      <c r="K449">
        <v>2</v>
      </c>
      <c r="L449">
        <v>5.67</v>
      </c>
      <c r="M449">
        <v>5.87</v>
      </c>
    </row>
    <row r="450" spans="1:13" x14ac:dyDescent="0.2">
      <c r="A450" t="s">
        <v>460</v>
      </c>
      <c r="B450">
        <v>24</v>
      </c>
      <c r="C450" t="s">
        <v>17</v>
      </c>
      <c r="D450">
        <v>7.1</v>
      </c>
      <c r="E450">
        <v>2.8</v>
      </c>
      <c r="G450">
        <v>2.9</v>
      </c>
      <c r="H450">
        <v>1.4</v>
      </c>
      <c r="I450">
        <v>7.4</v>
      </c>
      <c r="J450">
        <v>71</v>
      </c>
      <c r="K450">
        <v>2.4</v>
      </c>
      <c r="L450">
        <v>6.95</v>
      </c>
      <c r="M450">
        <v>7.15</v>
      </c>
    </row>
    <row r="451" spans="1:13" x14ac:dyDescent="0.2">
      <c r="A451" t="s">
        <v>461</v>
      </c>
      <c r="B451">
        <v>23</v>
      </c>
      <c r="C451" t="s">
        <v>17</v>
      </c>
      <c r="D451">
        <v>5.7</v>
      </c>
      <c r="E451">
        <v>2.2999999999999998</v>
      </c>
      <c r="G451">
        <v>4.3</v>
      </c>
      <c r="H451">
        <v>1.1000000000000001</v>
      </c>
      <c r="I451">
        <v>7.8</v>
      </c>
      <c r="J451">
        <v>94</v>
      </c>
      <c r="K451">
        <v>3.1</v>
      </c>
      <c r="L451">
        <v>9.24</v>
      </c>
      <c r="M451">
        <v>9.44</v>
      </c>
    </row>
    <row r="452" spans="1:13" x14ac:dyDescent="0.2">
      <c r="A452" t="s">
        <v>462</v>
      </c>
      <c r="B452">
        <v>24</v>
      </c>
      <c r="C452" t="s">
        <v>13</v>
      </c>
      <c r="D452">
        <v>4.2</v>
      </c>
      <c r="E452">
        <v>1.7</v>
      </c>
      <c r="G452">
        <v>5.8</v>
      </c>
      <c r="H452">
        <v>0.8</v>
      </c>
      <c r="I452">
        <v>7.1</v>
      </c>
      <c r="J452">
        <v>91</v>
      </c>
      <c r="K452">
        <v>3.1</v>
      </c>
      <c r="L452">
        <v>8.9499999999999993</v>
      </c>
      <c r="M452">
        <v>9.15</v>
      </c>
    </row>
    <row r="453" spans="1:13" x14ac:dyDescent="0.2">
      <c r="A453" t="s">
        <v>463</v>
      </c>
      <c r="B453">
        <v>23</v>
      </c>
      <c r="C453" t="s">
        <v>13</v>
      </c>
      <c r="D453">
        <v>8.4</v>
      </c>
      <c r="E453">
        <v>3.4</v>
      </c>
      <c r="G453">
        <v>1.6</v>
      </c>
      <c r="H453">
        <v>1.7</v>
      </c>
      <c r="I453">
        <v>6</v>
      </c>
      <c r="J453">
        <v>66</v>
      </c>
      <c r="K453">
        <v>2.2000000000000002</v>
      </c>
      <c r="L453">
        <v>6.45</v>
      </c>
      <c r="M453">
        <v>6.65</v>
      </c>
    </row>
    <row r="454" spans="1:13" x14ac:dyDescent="0.2">
      <c r="A454" t="s">
        <v>464</v>
      </c>
      <c r="B454">
        <v>23</v>
      </c>
      <c r="C454" t="s">
        <v>17</v>
      </c>
      <c r="D454">
        <v>8.9</v>
      </c>
      <c r="E454">
        <v>3.6</v>
      </c>
      <c r="G454">
        <v>1.1000000000000001</v>
      </c>
      <c r="H454">
        <v>1.8</v>
      </c>
      <c r="I454">
        <v>6</v>
      </c>
      <c r="J454">
        <v>55</v>
      </c>
      <c r="K454">
        <v>1.8</v>
      </c>
      <c r="L454">
        <v>5.3</v>
      </c>
      <c r="M454">
        <v>5.5</v>
      </c>
    </row>
    <row r="455" spans="1:13" x14ac:dyDescent="0.2">
      <c r="A455" t="s">
        <v>465</v>
      </c>
      <c r="B455">
        <v>20</v>
      </c>
      <c r="C455" t="s">
        <v>13</v>
      </c>
      <c r="D455">
        <v>7.6</v>
      </c>
      <c r="E455">
        <v>3</v>
      </c>
      <c r="G455">
        <v>2.4</v>
      </c>
      <c r="H455">
        <v>1.5</v>
      </c>
      <c r="I455">
        <v>6.2</v>
      </c>
      <c r="J455">
        <v>76</v>
      </c>
      <c r="K455">
        <v>2.5</v>
      </c>
      <c r="L455">
        <v>7.42</v>
      </c>
      <c r="M455">
        <v>7.62</v>
      </c>
    </row>
    <row r="456" spans="1:13" x14ac:dyDescent="0.2">
      <c r="A456" t="s">
        <v>466</v>
      </c>
      <c r="B456">
        <v>17</v>
      </c>
      <c r="C456" t="s">
        <v>13</v>
      </c>
      <c r="D456">
        <v>4.5999999999999996</v>
      </c>
      <c r="E456">
        <v>1.8</v>
      </c>
      <c r="G456">
        <v>5.4</v>
      </c>
      <c r="H456">
        <v>0.9</v>
      </c>
      <c r="I456">
        <v>7.8</v>
      </c>
      <c r="J456">
        <v>89</v>
      </c>
      <c r="K456">
        <v>3</v>
      </c>
      <c r="L456">
        <v>8.7899999999999991</v>
      </c>
      <c r="M456">
        <v>8.99</v>
      </c>
    </row>
    <row r="457" spans="1:13" x14ac:dyDescent="0.2">
      <c r="A457" t="s">
        <v>467</v>
      </c>
      <c r="B457">
        <v>18</v>
      </c>
      <c r="C457" t="s">
        <v>17</v>
      </c>
      <c r="D457">
        <v>4.5</v>
      </c>
      <c r="E457">
        <v>1.8</v>
      </c>
      <c r="G457">
        <v>5.5</v>
      </c>
      <c r="H457">
        <v>0.9</v>
      </c>
      <c r="I457">
        <v>8.4</v>
      </c>
      <c r="J457">
        <v>85</v>
      </c>
      <c r="K457">
        <v>2.8</v>
      </c>
      <c r="L457">
        <v>8.31</v>
      </c>
      <c r="M457">
        <v>8.51</v>
      </c>
    </row>
    <row r="458" spans="1:13" x14ac:dyDescent="0.2">
      <c r="A458" t="s">
        <v>468</v>
      </c>
      <c r="B458">
        <v>25</v>
      </c>
      <c r="C458" t="s">
        <v>17</v>
      </c>
      <c r="D458">
        <v>7.6</v>
      </c>
      <c r="E458">
        <v>3</v>
      </c>
      <c r="G458">
        <v>2.4</v>
      </c>
      <c r="H458">
        <v>1.5</v>
      </c>
      <c r="I458">
        <v>7</v>
      </c>
      <c r="J458">
        <v>68</v>
      </c>
      <c r="K458">
        <v>2.2999999999999998</v>
      </c>
      <c r="L458">
        <v>6.6099999999999897</v>
      </c>
      <c r="M458">
        <v>6.81</v>
      </c>
    </row>
    <row r="459" spans="1:13" x14ac:dyDescent="0.2">
      <c r="A459" t="s">
        <v>469</v>
      </c>
      <c r="B459">
        <v>18</v>
      </c>
      <c r="C459" t="s">
        <v>17</v>
      </c>
      <c r="D459">
        <v>4.9000000000000004</v>
      </c>
      <c r="E459">
        <v>2</v>
      </c>
      <c r="G459">
        <v>5.0999999999999996</v>
      </c>
      <c r="H459">
        <v>1</v>
      </c>
      <c r="I459">
        <v>8</v>
      </c>
      <c r="J459">
        <v>81</v>
      </c>
      <c r="K459">
        <v>2.7</v>
      </c>
      <c r="L459">
        <v>7.94</v>
      </c>
      <c r="M459">
        <v>8.14</v>
      </c>
    </row>
    <row r="460" spans="1:13" x14ac:dyDescent="0.2">
      <c r="A460" t="s">
        <v>470</v>
      </c>
      <c r="B460">
        <v>25</v>
      </c>
      <c r="C460" t="s">
        <v>13</v>
      </c>
      <c r="D460">
        <v>4.4000000000000004</v>
      </c>
      <c r="E460">
        <v>1.8</v>
      </c>
      <c r="G460">
        <v>5.6</v>
      </c>
      <c r="H460">
        <v>0.9</v>
      </c>
      <c r="I460">
        <v>7.2</v>
      </c>
      <c r="J460">
        <v>88</v>
      </c>
      <c r="K460">
        <v>3</v>
      </c>
      <c r="L460">
        <v>8.67</v>
      </c>
      <c r="M460">
        <v>8.8699999999999992</v>
      </c>
    </row>
    <row r="461" spans="1:13" x14ac:dyDescent="0.2">
      <c r="A461" t="s">
        <v>471</v>
      </c>
      <c r="B461">
        <v>21</v>
      </c>
      <c r="C461" t="s">
        <v>17</v>
      </c>
      <c r="D461">
        <v>7.2</v>
      </c>
      <c r="E461">
        <v>2.9</v>
      </c>
      <c r="G461">
        <v>2.8</v>
      </c>
      <c r="H461">
        <v>1.4</v>
      </c>
      <c r="I461">
        <v>6.1</v>
      </c>
      <c r="J461">
        <v>73</v>
      </c>
      <c r="K461">
        <v>2.4</v>
      </c>
      <c r="L461">
        <v>7.14</v>
      </c>
      <c r="M461">
        <v>7.34</v>
      </c>
    </row>
    <row r="462" spans="1:13" x14ac:dyDescent="0.2">
      <c r="A462" t="s">
        <v>472</v>
      </c>
      <c r="B462">
        <v>25</v>
      </c>
      <c r="C462" t="s">
        <v>13</v>
      </c>
      <c r="D462">
        <v>8.8000000000000007</v>
      </c>
      <c r="E462">
        <v>3.5</v>
      </c>
      <c r="G462">
        <v>1.2</v>
      </c>
      <c r="H462">
        <v>1.8</v>
      </c>
      <c r="I462">
        <v>5.7</v>
      </c>
      <c r="J462">
        <v>57</v>
      </c>
      <c r="K462">
        <v>1.9</v>
      </c>
      <c r="L462">
        <v>5.58</v>
      </c>
      <c r="M462">
        <v>5.78</v>
      </c>
    </row>
    <row r="463" spans="1:13" x14ac:dyDescent="0.2">
      <c r="A463" t="s">
        <v>473</v>
      </c>
      <c r="B463">
        <v>23</v>
      </c>
      <c r="C463" t="s">
        <v>17</v>
      </c>
      <c r="D463">
        <v>9.1</v>
      </c>
      <c r="E463">
        <v>3.6</v>
      </c>
      <c r="G463">
        <v>0.9</v>
      </c>
      <c r="H463">
        <v>1.8</v>
      </c>
      <c r="I463">
        <v>5.6</v>
      </c>
      <c r="J463">
        <v>64</v>
      </c>
      <c r="K463">
        <v>2.1</v>
      </c>
      <c r="L463">
        <v>6.2</v>
      </c>
      <c r="M463">
        <v>6.4</v>
      </c>
    </row>
    <row r="464" spans="1:13" x14ac:dyDescent="0.2">
      <c r="A464" t="s">
        <v>474</v>
      </c>
      <c r="B464">
        <v>19</v>
      </c>
      <c r="C464" t="s">
        <v>17</v>
      </c>
      <c r="D464">
        <v>5.8</v>
      </c>
      <c r="E464">
        <v>2.2999999999999998</v>
      </c>
      <c r="G464">
        <v>4.2</v>
      </c>
      <c r="H464">
        <v>1.2</v>
      </c>
      <c r="I464">
        <v>7.7</v>
      </c>
      <c r="J464">
        <v>93</v>
      </c>
      <c r="K464">
        <v>3.1</v>
      </c>
      <c r="L464">
        <v>9.18</v>
      </c>
      <c r="M464">
        <v>9.3800000000000008</v>
      </c>
    </row>
    <row r="465" spans="1:13" x14ac:dyDescent="0.2">
      <c r="A465" t="s">
        <v>475</v>
      </c>
      <c r="B465">
        <v>25</v>
      </c>
      <c r="C465" t="s">
        <v>13</v>
      </c>
      <c r="D465">
        <v>9.1</v>
      </c>
      <c r="E465">
        <v>3.6</v>
      </c>
      <c r="G465">
        <v>0.9</v>
      </c>
      <c r="H465">
        <v>1.8</v>
      </c>
      <c r="I465">
        <v>5.6</v>
      </c>
      <c r="J465">
        <v>66</v>
      </c>
      <c r="K465">
        <v>2.2000000000000002</v>
      </c>
      <c r="L465">
        <v>6.49</v>
      </c>
      <c r="M465">
        <v>6.69</v>
      </c>
    </row>
    <row r="466" spans="1:13" x14ac:dyDescent="0.2">
      <c r="A466" t="s">
        <v>476</v>
      </c>
      <c r="B466">
        <v>21</v>
      </c>
      <c r="C466" t="s">
        <v>17</v>
      </c>
      <c r="D466">
        <v>8.1999999999999993</v>
      </c>
      <c r="E466">
        <v>3.3</v>
      </c>
      <c r="G466">
        <v>1.8</v>
      </c>
      <c r="H466">
        <v>1.6</v>
      </c>
      <c r="I466">
        <v>5.6</v>
      </c>
      <c r="J466">
        <v>63</v>
      </c>
      <c r="K466">
        <v>2.1</v>
      </c>
      <c r="L466">
        <v>6.1899999999999897</v>
      </c>
      <c r="M466">
        <v>6.39</v>
      </c>
    </row>
    <row r="467" spans="1:13" x14ac:dyDescent="0.2">
      <c r="A467" t="s">
        <v>477</v>
      </c>
      <c r="B467">
        <v>19</v>
      </c>
      <c r="C467" t="s">
        <v>17</v>
      </c>
      <c r="D467">
        <v>4.9000000000000004</v>
      </c>
      <c r="E467">
        <v>2</v>
      </c>
      <c r="G467">
        <v>5.0999999999999996</v>
      </c>
      <c r="H467">
        <v>1</v>
      </c>
      <c r="I467">
        <v>7.5</v>
      </c>
      <c r="J467">
        <v>95</v>
      </c>
      <c r="K467">
        <v>3.2</v>
      </c>
      <c r="L467">
        <v>9.3800000000000008</v>
      </c>
      <c r="M467">
        <v>9.58</v>
      </c>
    </row>
    <row r="468" spans="1:13" x14ac:dyDescent="0.2">
      <c r="A468" t="s">
        <v>478</v>
      </c>
      <c r="B468">
        <v>17</v>
      </c>
      <c r="C468" t="s">
        <v>13</v>
      </c>
      <c r="D468">
        <v>7.1</v>
      </c>
      <c r="E468">
        <v>2.8</v>
      </c>
      <c r="G468">
        <v>2.9</v>
      </c>
      <c r="H468">
        <v>1.4</v>
      </c>
      <c r="I468">
        <v>6</v>
      </c>
      <c r="J468">
        <v>72</v>
      </c>
      <c r="K468">
        <v>2.4</v>
      </c>
      <c r="L468">
        <v>7.05</v>
      </c>
      <c r="M468">
        <v>7.25</v>
      </c>
    </row>
    <row r="469" spans="1:13" x14ac:dyDescent="0.2">
      <c r="A469" t="s">
        <v>479</v>
      </c>
      <c r="B469">
        <v>22</v>
      </c>
      <c r="C469" t="s">
        <v>17</v>
      </c>
      <c r="D469">
        <v>9.1</v>
      </c>
      <c r="E469">
        <v>3.6</v>
      </c>
      <c r="G469">
        <v>0.9</v>
      </c>
      <c r="H469">
        <v>1.8</v>
      </c>
      <c r="I469">
        <v>6.3</v>
      </c>
      <c r="J469">
        <v>61</v>
      </c>
      <c r="K469">
        <v>2.1</v>
      </c>
      <c r="L469">
        <v>5.99</v>
      </c>
      <c r="M469">
        <v>6.19</v>
      </c>
    </row>
    <row r="470" spans="1:13" x14ac:dyDescent="0.2">
      <c r="A470" t="s">
        <v>480</v>
      </c>
      <c r="B470">
        <v>24</v>
      </c>
      <c r="C470" t="s">
        <v>17</v>
      </c>
      <c r="D470">
        <v>4.5999999999999996</v>
      </c>
      <c r="E470">
        <v>1.8</v>
      </c>
      <c r="G470">
        <v>5.4</v>
      </c>
      <c r="H470">
        <v>0.9</v>
      </c>
      <c r="I470">
        <v>8.5</v>
      </c>
      <c r="J470">
        <v>81</v>
      </c>
      <c r="K470">
        <v>2.7</v>
      </c>
      <c r="L470">
        <v>7.93</v>
      </c>
      <c r="M470">
        <v>8.1300000000000008</v>
      </c>
    </row>
    <row r="471" spans="1:13" x14ac:dyDescent="0.2">
      <c r="A471" t="s">
        <v>481</v>
      </c>
      <c r="B471">
        <v>19</v>
      </c>
      <c r="C471" t="s">
        <v>13</v>
      </c>
      <c r="D471">
        <v>7.2</v>
      </c>
      <c r="E471">
        <v>2.9</v>
      </c>
      <c r="G471">
        <v>2.8</v>
      </c>
      <c r="H471">
        <v>1.4</v>
      </c>
      <c r="I471">
        <v>6.1</v>
      </c>
      <c r="J471">
        <v>69</v>
      </c>
      <c r="K471">
        <v>2.2999999999999998</v>
      </c>
      <c r="L471">
        <v>6.76</v>
      </c>
      <c r="M471">
        <v>6.96</v>
      </c>
    </row>
    <row r="472" spans="1:13" x14ac:dyDescent="0.2">
      <c r="A472" t="s">
        <v>482</v>
      </c>
      <c r="B472">
        <v>21</v>
      </c>
      <c r="C472" t="s">
        <v>13</v>
      </c>
      <c r="D472">
        <v>5.9</v>
      </c>
      <c r="E472">
        <v>2.4</v>
      </c>
      <c r="G472">
        <v>4.0999999999999996</v>
      </c>
      <c r="H472">
        <v>1.2</v>
      </c>
      <c r="I472">
        <v>7.7</v>
      </c>
      <c r="J472">
        <v>80</v>
      </c>
      <c r="K472">
        <v>2.7</v>
      </c>
      <c r="L472">
        <v>7.89</v>
      </c>
      <c r="M472">
        <v>8.09</v>
      </c>
    </row>
    <row r="473" spans="1:13" x14ac:dyDescent="0.2">
      <c r="A473" t="s">
        <v>483</v>
      </c>
      <c r="B473">
        <v>22</v>
      </c>
      <c r="C473" t="s">
        <v>13</v>
      </c>
      <c r="D473">
        <v>4.7</v>
      </c>
      <c r="E473">
        <v>1.9</v>
      </c>
      <c r="G473">
        <v>5.3</v>
      </c>
      <c r="H473">
        <v>0.9</v>
      </c>
      <c r="I473">
        <v>7.5</v>
      </c>
      <c r="J473">
        <v>97</v>
      </c>
      <c r="K473">
        <v>3.2</v>
      </c>
      <c r="L473">
        <v>9.51</v>
      </c>
      <c r="M473">
        <v>9.7100000000000009</v>
      </c>
    </row>
    <row r="474" spans="1:13" x14ac:dyDescent="0.2">
      <c r="A474" t="s">
        <v>484</v>
      </c>
      <c r="B474">
        <v>17</v>
      </c>
      <c r="C474" t="s">
        <v>17</v>
      </c>
      <c r="D474">
        <v>10</v>
      </c>
      <c r="E474">
        <v>4</v>
      </c>
      <c r="G474">
        <v>0</v>
      </c>
      <c r="H474">
        <v>2</v>
      </c>
      <c r="I474">
        <v>5.0999999999999996</v>
      </c>
      <c r="J474">
        <v>62</v>
      </c>
      <c r="K474">
        <v>2.1</v>
      </c>
      <c r="L474">
        <v>6.01</v>
      </c>
      <c r="M474">
        <v>6.21</v>
      </c>
    </row>
    <row r="475" spans="1:13" x14ac:dyDescent="0.2">
      <c r="A475" t="s">
        <v>485</v>
      </c>
      <c r="B475">
        <v>17</v>
      </c>
      <c r="C475" t="s">
        <v>17</v>
      </c>
      <c r="D475">
        <v>9.8000000000000007</v>
      </c>
      <c r="E475">
        <v>3.9</v>
      </c>
      <c r="G475">
        <v>0.2</v>
      </c>
      <c r="H475">
        <v>2</v>
      </c>
      <c r="I475">
        <v>6.5</v>
      </c>
      <c r="J475">
        <v>65</v>
      </c>
      <c r="K475">
        <v>2.2000000000000002</v>
      </c>
      <c r="L475">
        <v>6.31</v>
      </c>
      <c r="M475">
        <v>6.51</v>
      </c>
    </row>
    <row r="476" spans="1:13" x14ac:dyDescent="0.2">
      <c r="A476" t="s">
        <v>486</v>
      </c>
      <c r="B476">
        <v>19</v>
      </c>
      <c r="C476" t="s">
        <v>13</v>
      </c>
      <c r="D476">
        <v>7.3</v>
      </c>
      <c r="E476">
        <v>2.9</v>
      </c>
      <c r="G476">
        <v>2.7</v>
      </c>
      <c r="H476">
        <v>1.5</v>
      </c>
      <c r="I476">
        <v>7.3</v>
      </c>
      <c r="J476">
        <v>77</v>
      </c>
      <c r="K476">
        <v>2.6</v>
      </c>
      <c r="L476">
        <v>7.51</v>
      </c>
      <c r="M476">
        <v>7.71</v>
      </c>
    </row>
    <row r="477" spans="1:13" x14ac:dyDescent="0.2">
      <c r="A477" t="s">
        <v>487</v>
      </c>
      <c r="B477">
        <v>21</v>
      </c>
      <c r="C477" t="s">
        <v>13</v>
      </c>
      <c r="D477">
        <v>9</v>
      </c>
      <c r="E477">
        <v>3.6</v>
      </c>
      <c r="G477">
        <v>1</v>
      </c>
      <c r="H477">
        <v>1.8</v>
      </c>
      <c r="I477">
        <v>5.3</v>
      </c>
      <c r="J477">
        <v>64</v>
      </c>
      <c r="K477">
        <v>2.1</v>
      </c>
      <c r="L477">
        <v>6.22</v>
      </c>
      <c r="M477">
        <v>6.42</v>
      </c>
    </row>
    <row r="478" spans="1:13" x14ac:dyDescent="0.2">
      <c r="A478" t="s">
        <v>488</v>
      </c>
      <c r="B478">
        <v>19</v>
      </c>
      <c r="C478" t="s">
        <v>17</v>
      </c>
      <c r="D478">
        <v>9</v>
      </c>
      <c r="E478">
        <v>3.6</v>
      </c>
      <c r="G478">
        <v>1</v>
      </c>
      <c r="H478">
        <v>1.8</v>
      </c>
      <c r="I478">
        <v>5.2</v>
      </c>
      <c r="J478">
        <v>62</v>
      </c>
      <c r="K478">
        <v>2.1</v>
      </c>
      <c r="L478">
        <v>6.01</v>
      </c>
      <c r="M478">
        <v>6.21</v>
      </c>
    </row>
    <row r="479" spans="1:13" x14ac:dyDescent="0.2">
      <c r="A479" t="s">
        <v>489</v>
      </c>
      <c r="B479">
        <v>19</v>
      </c>
      <c r="C479" t="s">
        <v>13</v>
      </c>
      <c r="D479">
        <v>7.8</v>
      </c>
      <c r="E479">
        <v>3.1</v>
      </c>
      <c r="G479">
        <v>2.2000000000000002</v>
      </c>
      <c r="H479">
        <v>1.6</v>
      </c>
      <c r="I479">
        <v>6.6</v>
      </c>
      <c r="J479">
        <v>73</v>
      </c>
      <c r="K479">
        <v>2.5</v>
      </c>
      <c r="L479">
        <v>7.1899999999999897</v>
      </c>
      <c r="M479">
        <v>7.39</v>
      </c>
    </row>
    <row r="480" spans="1:13" x14ac:dyDescent="0.2">
      <c r="A480" t="s">
        <v>490</v>
      </c>
      <c r="B480">
        <v>21</v>
      </c>
      <c r="C480" t="s">
        <v>17</v>
      </c>
      <c r="D480">
        <v>5.8</v>
      </c>
      <c r="E480">
        <v>2.2999999999999998</v>
      </c>
      <c r="G480">
        <v>4.2</v>
      </c>
      <c r="H480">
        <v>1.2</v>
      </c>
      <c r="I480">
        <v>8.1999999999999993</v>
      </c>
      <c r="J480">
        <v>84</v>
      </c>
      <c r="K480">
        <v>2.8</v>
      </c>
      <c r="L480">
        <v>8.25</v>
      </c>
      <c r="M480">
        <v>8.4499999999999993</v>
      </c>
    </row>
    <row r="481" spans="1:13" x14ac:dyDescent="0.2">
      <c r="A481" t="s">
        <v>491</v>
      </c>
      <c r="B481">
        <v>22</v>
      </c>
      <c r="C481" t="s">
        <v>17</v>
      </c>
      <c r="D481">
        <v>6.4</v>
      </c>
      <c r="E481">
        <v>2.6</v>
      </c>
      <c r="G481">
        <v>3.6</v>
      </c>
      <c r="H481">
        <v>1.3</v>
      </c>
      <c r="I481">
        <v>6.7</v>
      </c>
      <c r="J481">
        <v>68</v>
      </c>
      <c r="K481">
        <v>2.2999999999999998</v>
      </c>
      <c r="L481">
        <v>6.6499999999999897</v>
      </c>
      <c r="M481">
        <v>6.85</v>
      </c>
    </row>
    <row r="482" spans="1:13" x14ac:dyDescent="0.2">
      <c r="A482" t="s">
        <v>492</v>
      </c>
      <c r="B482">
        <v>22</v>
      </c>
      <c r="C482" t="s">
        <v>17</v>
      </c>
      <c r="D482">
        <v>4.8</v>
      </c>
      <c r="E482">
        <v>1.9</v>
      </c>
      <c r="G482">
        <v>5.2</v>
      </c>
      <c r="H482">
        <v>1</v>
      </c>
      <c r="I482">
        <v>7.9</v>
      </c>
      <c r="J482">
        <v>89</v>
      </c>
      <c r="K482">
        <v>3</v>
      </c>
      <c r="L482">
        <v>8.7899999999999991</v>
      </c>
      <c r="M482">
        <v>8.99</v>
      </c>
    </row>
    <row r="483" spans="1:13" x14ac:dyDescent="0.2">
      <c r="A483" t="s">
        <v>493</v>
      </c>
      <c r="B483">
        <v>20</v>
      </c>
      <c r="C483" t="s">
        <v>17</v>
      </c>
      <c r="D483">
        <v>8.5</v>
      </c>
      <c r="E483">
        <v>3.4</v>
      </c>
      <c r="G483">
        <v>1.5</v>
      </c>
      <c r="H483">
        <v>1.7</v>
      </c>
      <c r="I483">
        <v>5.0999999999999996</v>
      </c>
      <c r="J483">
        <v>62</v>
      </c>
      <c r="K483">
        <v>2.1</v>
      </c>
      <c r="L483">
        <v>6.01</v>
      </c>
      <c r="M483">
        <v>6.21</v>
      </c>
    </row>
    <row r="484" spans="1:13" x14ac:dyDescent="0.2">
      <c r="A484" t="s">
        <v>494</v>
      </c>
      <c r="B484">
        <v>20</v>
      </c>
      <c r="C484" t="s">
        <v>13</v>
      </c>
      <c r="D484">
        <v>9.3000000000000007</v>
      </c>
      <c r="E484">
        <v>3.7</v>
      </c>
      <c r="G484">
        <v>0.7</v>
      </c>
      <c r="H484">
        <v>1.9</v>
      </c>
      <c r="I484">
        <v>5.2</v>
      </c>
      <c r="J484">
        <v>67</v>
      </c>
      <c r="K484">
        <v>2.2000000000000002</v>
      </c>
      <c r="L484">
        <v>6.53</v>
      </c>
      <c r="M484">
        <v>6.73</v>
      </c>
    </row>
    <row r="485" spans="1:13" x14ac:dyDescent="0.2">
      <c r="A485" t="s">
        <v>495</v>
      </c>
      <c r="B485">
        <v>24</v>
      </c>
      <c r="C485" t="s">
        <v>17</v>
      </c>
      <c r="D485">
        <v>7</v>
      </c>
      <c r="E485">
        <v>2.8</v>
      </c>
      <c r="G485">
        <v>3</v>
      </c>
      <c r="H485">
        <v>1.4</v>
      </c>
      <c r="I485">
        <v>6.7</v>
      </c>
      <c r="J485">
        <v>71</v>
      </c>
      <c r="K485">
        <v>2.4</v>
      </c>
      <c r="L485">
        <v>6.96</v>
      </c>
      <c r="M485">
        <v>7.16</v>
      </c>
    </row>
    <row r="486" spans="1:13" x14ac:dyDescent="0.2">
      <c r="A486" t="s">
        <v>496</v>
      </c>
      <c r="B486">
        <v>17</v>
      </c>
      <c r="C486" t="s">
        <v>17</v>
      </c>
      <c r="D486">
        <v>6.3</v>
      </c>
      <c r="E486">
        <v>2.5</v>
      </c>
      <c r="G486">
        <v>3.7</v>
      </c>
      <c r="H486">
        <v>1.3</v>
      </c>
      <c r="I486">
        <v>6.7</v>
      </c>
      <c r="J486">
        <v>74</v>
      </c>
      <c r="K486">
        <v>2.5</v>
      </c>
      <c r="L486">
        <v>7.21</v>
      </c>
      <c r="M486">
        <v>7.41</v>
      </c>
    </row>
    <row r="487" spans="1:13" x14ac:dyDescent="0.2">
      <c r="A487" t="s">
        <v>497</v>
      </c>
      <c r="B487">
        <v>23</v>
      </c>
      <c r="C487" t="s">
        <v>17</v>
      </c>
      <c r="D487">
        <v>9.4</v>
      </c>
      <c r="E487">
        <v>3.8</v>
      </c>
      <c r="G487">
        <v>0.6</v>
      </c>
      <c r="H487">
        <v>1.9</v>
      </c>
      <c r="I487">
        <v>5.7</v>
      </c>
      <c r="J487">
        <v>60</v>
      </c>
      <c r="K487">
        <v>2</v>
      </c>
      <c r="L487">
        <v>5.89</v>
      </c>
      <c r="M487">
        <v>6.09</v>
      </c>
    </row>
    <row r="488" spans="1:13" x14ac:dyDescent="0.2">
      <c r="A488" t="s">
        <v>498</v>
      </c>
      <c r="B488">
        <v>17</v>
      </c>
      <c r="C488" t="s">
        <v>17</v>
      </c>
      <c r="D488">
        <v>6.9</v>
      </c>
      <c r="E488">
        <v>2.8</v>
      </c>
      <c r="G488">
        <v>3.1</v>
      </c>
      <c r="H488">
        <v>1.4</v>
      </c>
      <c r="I488">
        <v>6.1</v>
      </c>
      <c r="J488">
        <v>80</v>
      </c>
      <c r="K488">
        <v>2.7</v>
      </c>
      <c r="L488">
        <v>7.8</v>
      </c>
      <c r="M488">
        <v>8</v>
      </c>
    </row>
    <row r="489" spans="1:13" x14ac:dyDescent="0.2">
      <c r="A489" t="s">
        <v>499</v>
      </c>
      <c r="B489">
        <v>21</v>
      </c>
      <c r="C489" t="s">
        <v>17</v>
      </c>
      <c r="D489">
        <v>5.8</v>
      </c>
      <c r="E489">
        <v>2.2999999999999998</v>
      </c>
      <c r="G489">
        <v>4.2</v>
      </c>
      <c r="H489">
        <v>1.2</v>
      </c>
      <c r="I489">
        <v>7.5</v>
      </c>
      <c r="J489">
        <v>82</v>
      </c>
      <c r="K489">
        <v>2.8</v>
      </c>
      <c r="L489">
        <v>8.08</v>
      </c>
      <c r="M489">
        <v>8.2799999999999994</v>
      </c>
    </row>
    <row r="490" spans="1:13" x14ac:dyDescent="0.2">
      <c r="A490" t="s">
        <v>500</v>
      </c>
      <c r="B490">
        <v>22</v>
      </c>
      <c r="C490" t="s">
        <v>17</v>
      </c>
      <c r="D490">
        <v>9.8000000000000007</v>
      </c>
      <c r="E490">
        <v>3.9</v>
      </c>
      <c r="G490">
        <v>0.2</v>
      </c>
      <c r="H490">
        <v>2</v>
      </c>
      <c r="I490">
        <v>6.1</v>
      </c>
      <c r="J490">
        <v>57</v>
      </c>
      <c r="K490">
        <v>1.9</v>
      </c>
      <c r="L490">
        <v>5.59</v>
      </c>
      <c r="M490">
        <v>5.79</v>
      </c>
    </row>
    <row r="491" spans="1:13" x14ac:dyDescent="0.2">
      <c r="A491" t="s">
        <v>501</v>
      </c>
      <c r="B491">
        <v>18</v>
      </c>
      <c r="C491" t="s">
        <v>17</v>
      </c>
      <c r="D491">
        <v>4.2</v>
      </c>
      <c r="E491">
        <v>1.7</v>
      </c>
      <c r="G491">
        <v>5.8</v>
      </c>
      <c r="H491">
        <v>0.8</v>
      </c>
      <c r="I491">
        <v>7.8</v>
      </c>
      <c r="J491">
        <v>95</v>
      </c>
      <c r="K491">
        <v>3.2</v>
      </c>
      <c r="L491">
        <v>9.34</v>
      </c>
      <c r="M491">
        <v>9.5399999999999991</v>
      </c>
    </row>
    <row r="492" spans="1:13" x14ac:dyDescent="0.2">
      <c r="A492" t="s">
        <v>502</v>
      </c>
      <c r="B492">
        <v>19</v>
      </c>
      <c r="C492" t="s">
        <v>13</v>
      </c>
      <c r="D492">
        <v>5.7</v>
      </c>
      <c r="E492">
        <v>2.2999999999999998</v>
      </c>
      <c r="G492">
        <v>4.3</v>
      </c>
      <c r="H492">
        <v>1.1000000000000001</v>
      </c>
      <c r="I492">
        <v>8.4</v>
      </c>
      <c r="J492">
        <v>82</v>
      </c>
      <c r="K492">
        <v>2.7</v>
      </c>
      <c r="L492">
        <v>8.02</v>
      </c>
      <c r="M492">
        <v>8.2200000000000006</v>
      </c>
    </row>
    <row r="493" spans="1:13" x14ac:dyDescent="0.2">
      <c r="A493" t="s">
        <v>503</v>
      </c>
      <c r="B493">
        <v>19</v>
      </c>
      <c r="C493" t="s">
        <v>17</v>
      </c>
      <c r="D493">
        <v>8.1</v>
      </c>
      <c r="E493">
        <v>3.2</v>
      </c>
      <c r="G493">
        <v>1.9</v>
      </c>
      <c r="H493">
        <v>1.6</v>
      </c>
      <c r="I493">
        <v>5.4</v>
      </c>
      <c r="J493">
        <v>65</v>
      </c>
      <c r="K493">
        <v>2.2000000000000002</v>
      </c>
      <c r="L493">
        <v>6.38</v>
      </c>
      <c r="M493">
        <v>6.58</v>
      </c>
    </row>
    <row r="494" spans="1:13" x14ac:dyDescent="0.2">
      <c r="A494" t="s">
        <v>504</v>
      </c>
      <c r="B494">
        <v>24</v>
      </c>
      <c r="C494" t="s">
        <v>17</v>
      </c>
      <c r="D494">
        <v>6.1</v>
      </c>
      <c r="E494">
        <v>2.4</v>
      </c>
      <c r="G494">
        <v>3.9</v>
      </c>
      <c r="H494">
        <v>1.2</v>
      </c>
      <c r="I494">
        <v>6.1</v>
      </c>
      <c r="J494">
        <v>75</v>
      </c>
      <c r="K494">
        <v>2.5</v>
      </c>
      <c r="L494">
        <v>7.3599999999999897</v>
      </c>
      <c r="M494">
        <v>7.56</v>
      </c>
    </row>
    <row r="495" spans="1:13" x14ac:dyDescent="0.2">
      <c r="A495" t="s">
        <v>505</v>
      </c>
      <c r="B495">
        <v>18</v>
      </c>
      <c r="C495" t="s">
        <v>17</v>
      </c>
      <c r="D495">
        <v>8.9</v>
      </c>
      <c r="E495">
        <v>3.6</v>
      </c>
      <c r="G495">
        <v>1.1000000000000001</v>
      </c>
      <c r="H495">
        <v>1.8</v>
      </c>
      <c r="I495">
        <v>6.3</v>
      </c>
      <c r="J495">
        <v>65</v>
      </c>
      <c r="K495">
        <v>2.2000000000000002</v>
      </c>
      <c r="L495">
        <v>6.35</v>
      </c>
      <c r="M495">
        <v>6.55</v>
      </c>
    </row>
    <row r="496" spans="1:13" x14ac:dyDescent="0.2">
      <c r="A496" t="s">
        <v>506</v>
      </c>
      <c r="B496">
        <v>22</v>
      </c>
      <c r="C496" t="s">
        <v>17</v>
      </c>
      <c r="D496">
        <v>4.5</v>
      </c>
      <c r="E496">
        <v>1.8</v>
      </c>
      <c r="G496">
        <v>5.5</v>
      </c>
      <c r="H496">
        <v>0.9</v>
      </c>
      <c r="I496">
        <v>7.1</v>
      </c>
      <c r="J496">
        <v>87</v>
      </c>
      <c r="K496">
        <v>2.9</v>
      </c>
      <c r="L496">
        <v>8.58</v>
      </c>
      <c r="M496">
        <v>8.7799999999999994</v>
      </c>
    </row>
    <row r="497" spans="1:13" x14ac:dyDescent="0.2">
      <c r="A497" t="s">
        <v>507</v>
      </c>
      <c r="B497">
        <v>19</v>
      </c>
      <c r="C497" t="s">
        <v>17</v>
      </c>
      <c r="D497">
        <v>6.1</v>
      </c>
      <c r="E497">
        <v>2.4</v>
      </c>
      <c r="G497">
        <v>3.9</v>
      </c>
      <c r="H497">
        <v>1.2</v>
      </c>
      <c r="I497">
        <v>7.2</v>
      </c>
      <c r="J497">
        <v>69</v>
      </c>
      <c r="K497">
        <v>2.2999999999999998</v>
      </c>
      <c r="L497">
        <v>6.7299999999999898</v>
      </c>
      <c r="M497">
        <v>6.93</v>
      </c>
    </row>
    <row r="498" spans="1:13" x14ac:dyDescent="0.2">
      <c r="A498" t="s">
        <v>508</v>
      </c>
      <c r="B498">
        <v>22</v>
      </c>
      <c r="C498" t="s">
        <v>13</v>
      </c>
      <c r="D498">
        <v>9.1999999999999993</v>
      </c>
      <c r="E498">
        <v>3.7</v>
      </c>
      <c r="G498">
        <v>0.8</v>
      </c>
      <c r="H498">
        <v>1.8</v>
      </c>
      <c r="I498">
        <v>5.2</v>
      </c>
      <c r="J498">
        <v>63</v>
      </c>
      <c r="K498">
        <v>2.1</v>
      </c>
      <c r="L498">
        <v>6.1899999999999897</v>
      </c>
      <c r="M498">
        <v>6.39</v>
      </c>
    </row>
    <row r="499" spans="1:13" x14ac:dyDescent="0.2">
      <c r="A499" t="s">
        <v>509</v>
      </c>
      <c r="B499">
        <v>23</v>
      </c>
      <c r="C499" t="s">
        <v>17</v>
      </c>
      <c r="D499">
        <v>4.9000000000000004</v>
      </c>
      <c r="E499">
        <v>2</v>
      </c>
      <c r="G499">
        <v>5.0999999999999996</v>
      </c>
      <c r="H499">
        <v>1</v>
      </c>
      <c r="I499">
        <v>8</v>
      </c>
      <c r="J499">
        <v>92</v>
      </c>
      <c r="K499">
        <v>3.1</v>
      </c>
      <c r="L499">
        <v>9.02</v>
      </c>
      <c r="M499">
        <v>9.2200000000000006</v>
      </c>
    </row>
    <row r="500" spans="1:13" x14ac:dyDescent="0.2">
      <c r="A500" t="s">
        <v>510</v>
      </c>
      <c r="B500">
        <v>23</v>
      </c>
      <c r="C500" t="s">
        <v>17</v>
      </c>
      <c r="D500">
        <v>8.8000000000000007</v>
      </c>
      <c r="E500">
        <v>3.5</v>
      </c>
      <c r="G500">
        <v>1.2</v>
      </c>
      <c r="H500">
        <v>1.8</v>
      </c>
      <c r="I500">
        <v>5.6</v>
      </c>
      <c r="J500">
        <v>67</v>
      </c>
      <c r="K500">
        <v>2.2000000000000002</v>
      </c>
      <c r="L500">
        <v>6.51</v>
      </c>
      <c r="M500">
        <v>6.71</v>
      </c>
    </row>
    <row r="501" spans="1:13" x14ac:dyDescent="0.2">
      <c r="A501" t="s">
        <v>511</v>
      </c>
      <c r="B501">
        <v>19</v>
      </c>
      <c r="C501" t="s">
        <v>17</v>
      </c>
      <c r="D501">
        <v>9.1</v>
      </c>
      <c r="E501">
        <v>3.6</v>
      </c>
      <c r="G501">
        <v>0.9</v>
      </c>
      <c r="H501">
        <v>1.8</v>
      </c>
      <c r="I501">
        <v>5.3</v>
      </c>
      <c r="J501">
        <v>62</v>
      </c>
      <c r="K501">
        <v>2.1</v>
      </c>
      <c r="L501">
        <v>6.01</v>
      </c>
      <c r="M501">
        <v>6.21</v>
      </c>
    </row>
    <row r="502" spans="1:13" x14ac:dyDescent="0.2">
      <c r="A502" t="s">
        <v>512</v>
      </c>
      <c r="B502">
        <v>23</v>
      </c>
      <c r="C502" t="s">
        <v>13</v>
      </c>
      <c r="D502">
        <v>6.5</v>
      </c>
      <c r="E502">
        <v>2.6</v>
      </c>
      <c r="G502">
        <v>3.5</v>
      </c>
      <c r="H502">
        <v>1.3</v>
      </c>
      <c r="I502">
        <v>6.3</v>
      </c>
      <c r="J502">
        <v>77</v>
      </c>
      <c r="K502">
        <v>2.6</v>
      </c>
      <c r="L502">
        <v>7.51</v>
      </c>
      <c r="M502">
        <v>7.71</v>
      </c>
    </row>
    <row r="503" spans="1:13" x14ac:dyDescent="0.2">
      <c r="A503" t="s">
        <v>513</v>
      </c>
      <c r="B503">
        <v>20</v>
      </c>
      <c r="C503" t="s">
        <v>13</v>
      </c>
      <c r="D503">
        <v>6.7</v>
      </c>
      <c r="E503">
        <v>2.7</v>
      </c>
      <c r="G503">
        <v>3.3</v>
      </c>
      <c r="H503">
        <v>1.3</v>
      </c>
      <c r="I503">
        <v>6.9</v>
      </c>
      <c r="J503">
        <v>75</v>
      </c>
      <c r="K503">
        <v>2.5</v>
      </c>
      <c r="L503">
        <v>7.3</v>
      </c>
      <c r="M503">
        <v>7.5</v>
      </c>
    </row>
    <row r="504" spans="1:13" x14ac:dyDescent="0.2">
      <c r="A504" t="s">
        <v>514</v>
      </c>
      <c r="B504">
        <v>24</v>
      </c>
      <c r="C504" t="s">
        <v>17</v>
      </c>
      <c r="D504">
        <v>7.2</v>
      </c>
      <c r="E504">
        <v>2.9</v>
      </c>
      <c r="G504">
        <v>2.8</v>
      </c>
      <c r="H504">
        <v>1.4</v>
      </c>
      <c r="I504">
        <v>6.4</v>
      </c>
      <c r="J504">
        <v>73</v>
      </c>
      <c r="K504">
        <v>2.5</v>
      </c>
      <c r="L504">
        <v>7.16</v>
      </c>
      <c r="M504">
        <v>7.36</v>
      </c>
    </row>
    <row r="505" spans="1:13" x14ac:dyDescent="0.2">
      <c r="A505" t="s">
        <v>515</v>
      </c>
      <c r="B505">
        <v>24</v>
      </c>
      <c r="C505" t="s">
        <v>13</v>
      </c>
      <c r="D505">
        <v>7.3</v>
      </c>
      <c r="E505">
        <v>2.9</v>
      </c>
      <c r="G505">
        <v>2.7</v>
      </c>
      <c r="H505">
        <v>1.5</v>
      </c>
      <c r="I505">
        <v>6.2</v>
      </c>
      <c r="J505">
        <v>74</v>
      </c>
      <c r="K505">
        <v>2.5</v>
      </c>
      <c r="L505">
        <v>7.22</v>
      </c>
      <c r="M505">
        <v>7.42</v>
      </c>
    </row>
    <row r="506" spans="1:13" x14ac:dyDescent="0.2">
      <c r="A506" t="s">
        <v>516</v>
      </c>
      <c r="B506">
        <v>18</v>
      </c>
      <c r="C506" t="s">
        <v>17</v>
      </c>
      <c r="D506">
        <v>6.4</v>
      </c>
      <c r="E506">
        <v>2.6</v>
      </c>
      <c r="G506">
        <v>3.6</v>
      </c>
      <c r="H506">
        <v>1.3</v>
      </c>
      <c r="I506">
        <v>7.3</v>
      </c>
      <c r="J506">
        <v>69</v>
      </c>
      <c r="K506">
        <v>2.2999999999999998</v>
      </c>
      <c r="L506">
        <v>6.79</v>
      </c>
      <c r="M506">
        <v>6.99</v>
      </c>
    </row>
    <row r="507" spans="1:13" x14ac:dyDescent="0.2">
      <c r="A507" t="s">
        <v>517</v>
      </c>
      <c r="B507">
        <v>18</v>
      </c>
      <c r="C507" t="s">
        <v>13</v>
      </c>
      <c r="D507">
        <v>4.3</v>
      </c>
      <c r="E507">
        <v>1.7</v>
      </c>
      <c r="G507">
        <v>5.7</v>
      </c>
      <c r="H507">
        <v>0.9</v>
      </c>
      <c r="I507">
        <v>7.5</v>
      </c>
      <c r="J507">
        <v>93</v>
      </c>
      <c r="K507">
        <v>3.1</v>
      </c>
      <c r="L507">
        <v>9.1</v>
      </c>
      <c r="M507">
        <v>9.3000000000000007</v>
      </c>
    </row>
    <row r="508" spans="1:13" x14ac:dyDescent="0.2">
      <c r="A508" t="s">
        <v>518</v>
      </c>
      <c r="B508">
        <v>25</v>
      </c>
      <c r="C508" t="s">
        <v>13</v>
      </c>
      <c r="D508">
        <v>7.6</v>
      </c>
      <c r="E508">
        <v>3</v>
      </c>
      <c r="G508">
        <v>2.4</v>
      </c>
      <c r="H508">
        <v>1.5</v>
      </c>
      <c r="I508">
        <v>6.9</v>
      </c>
      <c r="J508">
        <v>78</v>
      </c>
      <c r="K508">
        <v>2.6</v>
      </c>
      <c r="L508">
        <v>7.67</v>
      </c>
      <c r="M508">
        <v>7.87</v>
      </c>
    </row>
    <row r="509" spans="1:13" x14ac:dyDescent="0.2">
      <c r="A509" t="s">
        <v>519</v>
      </c>
      <c r="B509">
        <v>17</v>
      </c>
      <c r="C509" t="s">
        <v>17</v>
      </c>
      <c r="D509">
        <v>5.5</v>
      </c>
      <c r="E509">
        <v>2.2000000000000002</v>
      </c>
      <c r="G509">
        <v>4.5</v>
      </c>
      <c r="H509">
        <v>1.1000000000000001</v>
      </c>
      <c r="I509">
        <v>7.5</v>
      </c>
      <c r="J509">
        <v>92</v>
      </c>
      <c r="K509">
        <v>3.1</v>
      </c>
      <c r="L509">
        <v>9.08</v>
      </c>
      <c r="M509">
        <v>9.2799999999999994</v>
      </c>
    </row>
    <row r="510" spans="1:13" x14ac:dyDescent="0.2">
      <c r="A510">
        <v>567</v>
      </c>
      <c r="B510">
        <v>78</v>
      </c>
      <c r="C510">
        <v>98</v>
      </c>
      <c r="D510" t="s">
        <v>584</v>
      </c>
      <c r="E510" t="s">
        <v>585</v>
      </c>
      <c r="F510" t="s">
        <v>584</v>
      </c>
    </row>
    <row r="511" spans="1:13" x14ac:dyDescent="0.2">
      <c r="A511" t="s">
        <v>520</v>
      </c>
      <c r="B511">
        <v>18</v>
      </c>
      <c r="C511" t="s">
        <v>17</v>
      </c>
      <c r="D511">
        <v>5.6</v>
      </c>
      <c r="E511">
        <v>2.2000000000000002</v>
      </c>
      <c r="G511">
        <v>4.4000000000000004</v>
      </c>
      <c r="H511">
        <v>1.1000000000000001</v>
      </c>
      <c r="I511">
        <v>7.5</v>
      </c>
      <c r="J511">
        <v>94</v>
      </c>
      <c r="K511">
        <v>3.2</v>
      </c>
      <c r="L511">
        <v>9.2899999999999991</v>
      </c>
      <c r="M511">
        <v>9.49</v>
      </c>
    </row>
    <row r="512" spans="1:13" x14ac:dyDescent="0.2">
      <c r="A512" t="s">
        <v>521</v>
      </c>
      <c r="B512">
        <v>19</v>
      </c>
      <c r="C512" t="s">
        <v>17</v>
      </c>
      <c r="D512">
        <v>9.6999999999999993</v>
      </c>
      <c r="E512">
        <v>3.9</v>
      </c>
      <c r="G512">
        <v>0.3</v>
      </c>
      <c r="H512">
        <v>1.9</v>
      </c>
      <c r="I512">
        <v>5.6</v>
      </c>
      <c r="J512">
        <v>60</v>
      </c>
      <c r="K512">
        <v>2</v>
      </c>
      <c r="L512">
        <v>5.85</v>
      </c>
      <c r="M512">
        <v>6.05</v>
      </c>
    </row>
    <row r="513" spans="1:13" x14ac:dyDescent="0.2">
      <c r="A513" t="s">
        <v>522</v>
      </c>
      <c r="B513">
        <v>24</v>
      </c>
      <c r="C513" t="s">
        <v>17</v>
      </c>
      <c r="D513">
        <v>4.7</v>
      </c>
      <c r="E513">
        <v>1.9</v>
      </c>
      <c r="G513">
        <v>5.3</v>
      </c>
      <c r="H513">
        <v>0.9</v>
      </c>
      <c r="I513">
        <v>7.8</v>
      </c>
      <c r="J513">
        <v>78</v>
      </c>
      <c r="K513">
        <v>2.6</v>
      </c>
      <c r="L513">
        <v>7.68</v>
      </c>
      <c r="M513">
        <v>7.88</v>
      </c>
    </row>
    <row r="514" spans="1:13" x14ac:dyDescent="0.2">
      <c r="A514" t="s">
        <v>523</v>
      </c>
      <c r="B514">
        <v>17</v>
      </c>
      <c r="C514" t="s">
        <v>13</v>
      </c>
      <c r="D514">
        <v>4</v>
      </c>
      <c r="E514">
        <v>1.6</v>
      </c>
      <c r="G514">
        <v>6</v>
      </c>
      <c r="H514">
        <v>0.8</v>
      </c>
      <c r="I514">
        <v>8.1</v>
      </c>
      <c r="J514">
        <v>81</v>
      </c>
      <c r="K514">
        <v>2.7</v>
      </c>
      <c r="L514">
        <v>7.93</v>
      </c>
      <c r="M514">
        <v>8.1300000000000008</v>
      </c>
    </row>
    <row r="515" spans="1:13" x14ac:dyDescent="0.2">
      <c r="A515" t="s">
        <v>524</v>
      </c>
      <c r="B515">
        <v>21</v>
      </c>
      <c r="C515" t="s">
        <v>13</v>
      </c>
      <c r="D515">
        <v>8.6</v>
      </c>
      <c r="E515">
        <v>3.4</v>
      </c>
      <c r="G515">
        <v>1.4</v>
      </c>
      <c r="H515">
        <v>1.7</v>
      </c>
      <c r="I515">
        <v>6.1</v>
      </c>
      <c r="J515">
        <v>67</v>
      </c>
      <c r="K515">
        <v>2.2000000000000002</v>
      </c>
      <c r="L515">
        <v>6.54</v>
      </c>
      <c r="M515">
        <v>6.74</v>
      </c>
    </row>
    <row r="516" spans="1:13" x14ac:dyDescent="0.2">
      <c r="A516" t="s">
        <v>525</v>
      </c>
      <c r="B516">
        <v>22</v>
      </c>
      <c r="C516" t="s">
        <v>13</v>
      </c>
      <c r="D516">
        <v>8.6999999999999993</v>
      </c>
      <c r="E516">
        <v>3.5</v>
      </c>
      <c r="G516">
        <v>1.3</v>
      </c>
      <c r="H516">
        <v>1.7</v>
      </c>
      <c r="I516">
        <v>5.0999999999999996</v>
      </c>
      <c r="J516">
        <v>63</v>
      </c>
      <c r="K516">
        <v>2.1</v>
      </c>
      <c r="L516">
        <v>6.14</v>
      </c>
      <c r="M516">
        <v>6.34</v>
      </c>
    </row>
    <row r="517" spans="1:13" x14ac:dyDescent="0.2">
      <c r="A517" t="s">
        <v>526</v>
      </c>
      <c r="B517">
        <v>19</v>
      </c>
      <c r="C517" t="s">
        <v>13</v>
      </c>
      <c r="D517">
        <v>6.3</v>
      </c>
      <c r="E517">
        <v>2.5</v>
      </c>
      <c r="G517">
        <v>3.7</v>
      </c>
      <c r="H517">
        <v>1.3</v>
      </c>
      <c r="I517">
        <v>6.7</v>
      </c>
      <c r="J517">
        <v>78</v>
      </c>
      <c r="K517">
        <v>2.6</v>
      </c>
      <c r="L517">
        <v>7.64</v>
      </c>
      <c r="M517">
        <v>7.84</v>
      </c>
    </row>
    <row r="518" spans="1:13" x14ac:dyDescent="0.2">
      <c r="A518" t="s">
        <v>527</v>
      </c>
      <c r="B518">
        <v>20</v>
      </c>
      <c r="C518" t="s">
        <v>17</v>
      </c>
      <c r="D518">
        <v>4</v>
      </c>
      <c r="E518">
        <v>1.6</v>
      </c>
      <c r="G518">
        <v>6</v>
      </c>
      <c r="H518">
        <v>0.8</v>
      </c>
      <c r="I518">
        <v>7.3</v>
      </c>
      <c r="J518">
        <v>95</v>
      </c>
      <c r="K518">
        <v>3.2</v>
      </c>
      <c r="L518">
        <v>9.32</v>
      </c>
      <c r="M518">
        <v>9.52</v>
      </c>
    </row>
    <row r="519" spans="1:13" x14ac:dyDescent="0.2">
      <c r="A519" t="s">
        <v>528</v>
      </c>
      <c r="B519">
        <v>24</v>
      </c>
      <c r="C519" t="s">
        <v>13</v>
      </c>
      <c r="D519">
        <v>8.3000000000000007</v>
      </c>
      <c r="E519">
        <v>3.3</v>
      </c>
      <c r="G519">
        <v>1.7</v>
      </c>
      <c r="H519">
        <v>1.7</v>
      </c>
      <c r="I519">
        <v>6.3</v>
      </c>
      <c r="J519">
        <v>59</v>
      </c>
      <c r="K519">
        <v>2</v>
      </c>
      <c r="L519">
        <v>5.78</v>
      </c>
      <c r="M519">
        <v>5.98</v>
      </c>
    </row>
    <row r="520" spans="1:13" x14ac:dyDescent="0.2">
      <c r="A520" t="s">
        <v>529</v>
      </c>
      <c r="B520">
        <v>25</v>
      </c>
      <c r="C520" t="s">
        <v>13</v>
      </c>
      <c r="D520">
        <v>5.3</v>
      </c>
      <c r="E520">
        <v>2.1</v>
      </c>
      <c r="G520">
        <v>4.7</v>
      </c>
      <c r="H520">
        <v>1.1000000000000001</v>
      </c>
      <c r="I520">
        <v>7.9</v>
      </c>
      <c r="J520">
        <v>91</v>
      </c>
      <c r="K520">
        <v>3.1</v>
      </c>
      <c r="L520">
        <v>8.9600000000000009</v>
      </c>
      <c r="M520">
        <v>9.16</v>
      </c>
    </row>
    <row r="521" spans="1:13" x14ac:dyDescent="0.2">
      <c r="A521" t="s">
        <v>530</v>
      </c>
      <c r="B521">
        <v>21</v>
      </c>
      <c r="C521" t="s">
        <v>13</v>
      </c>
      <c r="D521">
        <v>9.6</v>
      </c>
      <c r="E521">
        <v>3.8</v>
      </c>
      <c r="G521">
        <v>0.4</v>
      </c>
      <c r="H521">
        <v>1.9</v>
      </c>
      <c r="I521">
        <v>6.1</v>
      </c>
      <c r="J521">
        <v>56</v>
      </c>
      <c r="K521">
        <v>1.9</v>
      </c>
      <c r="L521">
        <v>5.46</v>
      </c>
      <c r="M521">
        <v>5.66</v>
      </c>
    </row>
    <row r="522" spans="1:13" x14ac:dyDescent="0.2">
      <c r="A522" t="s">
        <v>531</v>
      </c>
      <c r="B522">
        <v>25</v>
      </c>
      <c r="C522" t="s">
        <v>17</v>
      </c>
      <c r="D522">
        <v>8.3000000000000007</v>
      </c>
      <c r="E522">
        <v>3.3</v>
      </c>
      <c r="G522">
        <v>1.7</v>
      </c>
      <c r="H522">
        <v>1.7</v>
      </c>
      <c r="I522">
        <v>6.3</v>
      </c>
      <c r="J522">
        <v>57</v>
      </c>
      <c r="K522">
        <v>1.9</v>
      </c>
      <c r="L522">
        <v>5.56</v>
      </c>
      <c r="M522">
        <v>5.76</v>
      </c>
    </row>
    <row r="523" spans="1:13" x14ac:dyDescent="0.2">
      <c r="A523" t="s">
        <v>532</v>
      </c>
      <c r="B523">
        <v>21</v>
      </c>
      <c r="C523" t="s">
        <v>13</v>
      </c>
      <c r="D523">
        <v>4.7</v>
      </c>
      <c r="E523">
        <v>1.9</v>
      </c>
      <c r="G523">
        <v>5.3</v>
      </c>
      <c r="H523">
        <v>0.9</v>
      </c>
      <c r="I523">
        <v>7.4</v>
      </c>
      <c r="J523">
        <v>88</v>
      </c>
      <c r="K523">
        <v>2.9</v>
      </c>
      <c r="L523">
        <v>8.6300000000000008</v>
      </c>
      <c r="M523">
        <v>8.83</v>
      </c>
    </row>
    <row r="524" spans="1:13" x14ac:dyDescent="0.2">
      <c r="A524" t="s">
        <v>533</v>
      </c>
      <c r="B524">
        <v>19</v>
      </c>
      <c r="C524" t="s">
        <v>17</v>
      </c>
      <c r="D524">
        <v>6</v>
      </c>
      <c r="E524">
        <v>2.4</v>
      </c>
      <c r="G524">
        <v>4</v>
      </c>
      <c r="H524">
        <v>1.2</v>
      </c>
      <c r="I524">
        <v>6.2</v>
      </c>
      <c r="J524">
        <v>68</v>
      </c>
      <c r="K524">
        <v>2.2999999999999998</v>
      </c>
      <c r="L524">
        <v>6.62</v>
      </c>
      <c r="M524">
        <v>6.82</v>
      </c>
    </row>
    <row r="525" spans="1:13" x14ac:dyDescent="0.2">
      <c r="A525" t="s">
        <v>534</v>
      </c>
      <c r="B525">
        <v>24</v>
      </c>
      <c r="C525" t="s">
        <v>17</v>
      </c>
      <c r="D525">
        <v>8.4</v>
      </c>
      <c r="E525">
        <v>3.4</v>
      </c>
      <c r="G525">
        <v>1.6</v>
      </c>
      <c r="H525">
        <v>1.7</v>
      </c>
      <c r="I525">
        <v>6.4</v>
      </c>
      <c r="J525">
        <v>59</v>
      </c>
      <c r="K525">
        <v>2</v>
      </c>
      <c r="L525">
        <v>5.7299999999999898</v>
      </c>
      <c r="M525">
        <v>5.93</v>
      </c>
    </row>
    <row r="526" spans="1:13" x14ac:dyDescent="0.2">
      <c r="A526" t="s">
        <v>535</v>
      </c>
      <c r="B526">
        <v>17</v>
      </c>
      <c r="C526" t="s">
        <v>13</v>
      </c>
      <c r="D526">
        <v>6.8</v>
      </c>
      <c r="E526">
        <v>2.7</v>
      </c>
      <c r="G526">
        <v>3.2</v>
      </c>
      <c r="H526">
        <v>1.4</v>
      </c>
      <c r="I526">
        <v>6.8</v>
      </c>
      <c r="J526">
        <v>79</v>
      </c>
      <c r="K526">
        <v>2.7</v>
      </c>
      <c r="L526">
        <v>7.76</v>
      </c>
      <c r="M526">
        <v>7.96</v>
      </c>
    </row>
    <row r="527" spans="1:13" x14ac:dyDescent="0.2">
      <c r="A527" t="s">
        <v>536</v>
      </c>
      <c r="B527">
        <v>22</v>
      </c>
      <c r="C527" t="s">
        <v>17</v>
      </c>
      <c r="D527">
        <v>6.7</v>
      </c>
      <c r="E527">
        <v>2.7</v>
      </c>
      <c r="G527">
        <v>3.3</v>
      </c>
      <c r="H527">
        <v>1.3</v>
      </c>
      <c r="I527">
        <v>6.3</v>
      </c>
      <c r="J527">
        <v>71</v>
      </c>
      <c r="K527">
        <v>2.4</v>
      </c>
      <c r="L527">
        <v>6.92</v>
      </c>
      <c r="M527">
        <v>7.12</v>
      </c>
    </row>
    <row r="528" spans="1:13" x14ac:dyDescent="0.2">
      <c r="A528" t="s">
        <v>537</v>
      </c>
      <c r="B528">
        <v>22</v>
      </c>
      <c r="C528" t="s">
        <v>17</v>
      </c>
      <c r="D528">
        <v>4.5</v>
      </c>
      <c r="E528">
        <v>1.8</v>
      </c>
      <c r="G528">
        <v>5.5</v>
      </c>
      <c r="H528">
        <v>0.9</v>
      </c>
      <c r="I528">
        <v>7.6</v>
      </c>
      <c r="J528">
        <v>85</v>
      </c>
      <c r="K528">
        <v>2.9</v>
      </c>
      <c r="L528">
        <v>8.3699999999999992</v>
      </c>
      <c r="M528">
        <v>8.57</v>
      </c>
    </row>
    <row r="529" spans="1:13" x14ac:dyDescent="0.2">
      <c r="A529" t="s">
        <v>538</v>
      </c>
      <c r="B529">
        <v>23</v>
      </c>
      <c r="C529" t="s">
        <v>13</v>
      </c>
      <c r="D529">
        <v>4.0999999999999996</v>
      </c>
      <c r="E529">
        <v>1.6</v>
      </c>
      <c r="G529">
        <v>5.9</v>
      </c>
      <c r="H529">
        <v>0.8</v>
      </c>
      <c r="I529">
        <v>8.1999999999999993</v>
      </c>
      <c r="J529">
        <v>83</v>
      </c>
      <c r="K529">
        <v>2.8</v>
      </c>
      <c r="L529">
        <v>8.19</v>
      </c>
      <c r="M529">
        <v>8.39</v>
      </c>
    </row>
    <row r="530" spans="1:13" x14ac:dyDescent="0.2">
      <c r="A530" t="s">
        <v>539</v>
      </c>
      <c r="B530">
        <v>20</v>
      </c>
      <c r="C530" t="s">
        <v>17</v>
      </c>
      <c r="D530">
        <v>7.9</v>
      </c>
      <c r="E530">
        <v>3.2</v>
      </c>
      <c r="G530">
        <v>2.1</v>
      </c>
      <c r="H530">
        <v>1.6</v>
      </c>
      <c r="I530">
        <v>6.9</v>
      </c>
      <c r="J530">
        <v>74</v>
      </c>
      <c r="K530">
        <v>2.5</v>
      </c>
      <c r="L530">
        <v>7.28</v>
      </c>
      <c r="M530">
        <v>7.48</v>
      </c>
    </row>
    <row r="531" spans="1:13" x14ac:dyDescent="0.2">
      <c r="A531" t="s">
        <v>540</v>
      </c>
      <c r="B531">
        <v>17</v>
      </c>
      <c r="C531" t="s">
        <v>17</v>
      </c>
      <c r="D531">
        <v>9.8000000000000007</v>
      </c>
      <c r="E531">
        <v>3.9</v>
      </c>
      <c r="G531">
        <v>0.2</v>
      </c>
      <c r="H531">
        <v>2</v>
      </c>
      <c r="I531">
        <v>5</v>
      </c>
      <c r="J531">
        <v>66</v>
      </c>
      <c r="K531">
        <v>2.2000000000000002</v>
      </c>
      <c r="L531">
        <v>6.3999999999999897</v>
      </c>
      <c r="M531">
        <v>6.6</v>
      </c>
    </row>
    <row r="532" spans="1:13" x14ac:dyDescent="0.2">
      <c r="A532" t="s">
        <v>541</v>
      </c>
      <c r="B532">
        <v>24</v>
      </c>
      <c r="C532" t="s">
        <v>17</v>
      </c>
      <c r="D532">
        <v>8.6999999999999993</v>
      </c>
      <c r="E532">
        <v>3.5</v>
      </c>
      <c r="G532">
        <v>1.3</v>
      </c>
      <c r="H532">
        <v>1.7</v>
      </c>
      <c r="I532">
        <v>5.6</v>
      </c>
      <c r="J532">
        <v>61</v>
      </c>
      <c r="K532">
        <v>2</v>
      </c>
      <c r="L532">
        <v>5.8999999999999897</v>
      </c>
      <c r="M532">
        <v>6.1</v>
      </c>
    </row>
    <row r="533" spans="1:13" x14ac:dyDescent="0.2">
      <c r="A533" t="s">
        <v>542</v>
      </c>
      <c r="B533">
        <v>20</v>
      </c>
      <c r="C533" t="s">
        <v>13</v>
      </c>
      <c r="D533">
        <v>8.3000000000000007</v>
      </c>
      <c r="E533">
        <v>3.3</v>
      </c>
      <c r="G533">
        <v>1.7</v>
      </c>
      <c r="H533">
        <v>1.7</v>
      </c>
      <c r="I533">
        <v>5.9</v>
      </c>
      <c r="J533">
        <v>67</v>
      </c>
      <c r="K533">
        <v>2.2000000000000002</v>
      </c>
      <c r="L533">
        <v>6.52</v>
      </c>
      <c r="M533">
        <v>6.72</v>
      </c>
    </row>
    <row r="534" spans="1:13" x14ac:dyDescent="0.2">
      <c r="A534" t="s">
        <v>543</v>
      </c>
      <c r="B534">
        <v>18</v>
      </c>
      <c r="C534" t="s">
        <v>17</v>
      </c>
      <c r="D534">
        <v>9.9</v>
      </c>
      <c r="E534">
        <v>4</v>
      </c>
      <c r="G534">
        <v>0.1</v>
      </c>
      <c r="H534">
        <v>2</v>
      </c>
      <c r="I534">
        <v>5.8</v>
      </c>
      <c r="J534">
        <v>58</v>
      </c>
      <c r="K534">
        <v>1.9</v>
      </c>
      <c r="L534">
        <v>5.6099999999999897</v>
      </c>
      <c r="M534">
        <v>5.81</v>
      </c>
    </row>
    <row r="535" spans="1:13" x14ac:dyDescent="0.2">
      <c r="A535" t="s">
        <v>544</v>
      </c>
      <c r="B535">
        <v>23</v>
      </c>
      <c r="C535" t="s">
        <v>13</v>
      </c>
      <c r="D535">
        <v>9.8000000000000007</v>
      </c>
      <c r="E535">
        <v>3.9</v>
      </c>
      <c r="G535">
        <v>0.2</v>
      </c>
      <c r="H535">
        <v>2</v>
      </c>
      <c r="I535">
        <v>5.5</v>
      </c>
      <c r="J535">
        <v>56</v>
      </c>
      <c r="K535">
        <v>1.9</v>
      </c>
      <c r="L535">
        <v>5.3999999999999897</v>
      </c>
      <c r="M535">
        <v>5.6</v>
      </c>
    </row>
    <row r="536" spans="1:13" x14ac:dyDescent="0.2">
      <c r="A536" t="s">
        <v>545</v>
      </c>
      <c r="B536">
        <v>21</v>
      </c>
      <c r="C536" t="s">
        <v>13</v>
      </c>
      <c r="D536">
        <v>9.4</v>
      </c>
      <c r="E536">
        <v>3.8</v>
      </c>
      <c r="G536">
        <v>0.6</v>
      </c>
      <c r="H536">
        <v>1.9</v>
      </c>
      <c r="I536">
        <v>5.5</v>
      </c>
      <c r="J536">
        <v>66</v>
      </c>
      <c r="K536">
        <v>2.2000000000000002</v>
      </c>
      <c r="L536">
        <v>6.3999999999999897</v>
      </c>
      <c r="M536">
        <v>6.6</v>
      </c>
    </row>
    <row r="537" spans="1:13" x14ac:dyDescent="0.2">
      <c r="A537" t="s">
        <v>546</v>
      </c>
      <c r="B537">
        <v>17</v>
      </c>
      <c r="C537" t="s">
        <v>17</v>
      </c>
      <c r="D537">
        <v>7.8</v>
      </c>
      <c r="E537">
        <v>3.1</v>
      </c>
      <c r="G537">
        <v>2.2000000000000002</v>
      </c>
      <c r="H537">
        <v>1.6</v>
      </c>
      <c r="I537">
        <v>7</v>
      </c>
      <c r="J537">
        <v>72</v>
      </c>
      <c r="K537">
        <v>2.4</v>
      </c>
      <c r="L537">
        <v>7.0699999999999896</v>
      </c>
      <c r="M537">
        <v>7.27</v>
      </c>
    </row>
    <row r="538" spans="1:13" x14ac:dyDescent="0.2">
      <c r="A538" t="s">
        <v>547</v>
      </c>
      <c r="B538">
        <v>18</v>
      </c>
      <c r="C538" t="s">
        <v>13</v>
      </c>
      <c r="D538">
        <v>9.5</v>
      </c>
      <c r="E538">
        <v>3.8</v>
      </c>
      <c r="G538">
        <v>0.5</v>
      </c>
      <c r="H538">
        <v>1.9</v>
      </c>
      <c r="I538">
        <v>5.7</v>
      </c>
      <c r="J538">
        <v>58</v>
      </c>
      <c r="K538">
        <v>2</v>
      </c>
      <c r="L538">
        <v>5.68</v>
      </c>
      <c r="M538">
        <v>5.88</v>
      </c>
    </row>
    <row r="539" spans="1:13" x14ac:dyDescent="0.2">
      <c r="A539" t="s">
        <v>548</v>
      </c>
      <c r="B539">
        <v>22</v>
      </c>
      <c r="C539" t="s">
        <v>17</v>
      </c>
      <c r="D539">
        <v>4.9000000000000004</v>
      </c>
      <c r="E539">
        <v>2</v>
      </c>
      <c r="G539">
        <v>5.0999999999999996</v>
      </c>
      <c r="H539">
        <v>1</v>
      </c>
      <c r="I539">
        <v>7.9</v>
      </c>
      <c r="J539">
        <v>78</v>
      </c>
      <c r="K539">
        <v>2.6</v>
      </c>
      <c r="L539">
        <v>7.62</v>
      </c>
      <c r="M539">
        <v>7.82</v>
      </c>
    </row>
    <row r="540" spans="1:13" x14ac:dyDescent="0.2">
      <c r="A540" t="s">
        <v>549</v>
      </c>
      <c r="B540">
        <v>21</v>
      </c>
      <c r="C540" t="s">
        <v>13</v>
      </c>
      <c r="D540">
        <v>9.6999999999999993</v>
      </c>
      <c r="E540">
        <v>3.9</v>
      </c>
      <c r="G540">
        <v>0.3</v>
      </c>
      <c r="H540">
        <v>1.9</v>
      </c>
      <c r="I540">
        <v>5.4</v>
      </c>
      <c r="J540">
        <v>61</v>
      </c>
      <c r="K540">
        <v>2.1</v>
      </c>
      <c r="L540">
        <v>5.99</v>
      </c>
      <c r="M540">
        <v>6.19</v>
      </c>
    </row>
    <row r="541" spans="1:13" x14ac:dyDescent="0.2">
      <c r="A541" t="s">
        <v>550</v>
      </c>
      <c r="B541">
        <v>19</v>
      </c>
      <c r="C541" t="s">
        <v>13</v>
      </c>
      <c r="D541">
        <v>4.5</v>
      </c>
      <c r="E541">
        <v>1.8</v>
      </c>
      <c r="G541">
        <v>5.5</v>
      </c>
      <c r="H541">
        <v>0.9</v>
      </c>
      <c r="I541">
        <v>8.1999999999999993</v>
      </c>
      <c r="J541">
        <v>83</v>
      </c>
      <c r="K541">
        <v>2.8</v>
      </c>
      <c r="L541">
        <v>8.15</v>
      </c>
      <c r="M541">
        <v>8.35</v>
      </c>
    </row>
    <row r="542" spans="1:13" x14ac:dyDescent="0.2">
      <c r="A542" t="s">
        <v>551</v>
      </c>
      <c r="B542">
        <v>17</v>
      </c>
      <c r="C542" t="s">
        <v>13</v>
      </c>
      <c r="D542">
        <v>9.1999999999999993</v>
      </c>
      <c r="E542">
        <v>3.7</v>
      </c>
      <c r="G542">
        <v>0.8</v>
      </c>
      <c r="H542">
        <v>1.8</v>
      </c>
      <c r="I542">
        <v>6.3</v>
      </c>
      <c r="J542">
        <v>61</v>
      </c>
      <c r="K542">
        <v>2</v>
      </c>
      <c r="L542">
        <v>5.93</v>
      </c>
      <c r="M542">
        <v>6.13</v>
      </c>
    </row>
    <row r="543" spans="1:13" x14ac:dyDescent="0.2">
      <c r="A543" t="s">
        <v>552</v>
      </c>
      <c r="B543">
        <v>25</v>
      </c>
      <c r="C543" t="s">
        <v>13</v>
      </c>
      <c r="D543">
        <v>10</v>
      </c>
      <c r="E543">
        <v>4</v>
      </c>
      <c r="G543">
        <v>0</v>
      </c>
      <c r="H543">
        <v>2</v>
      </c>
      <c r="I543">
        <v>5.6</v>
      </c>
      <c r="J543">
        <v>61</v>
      </c>
      <c r="K543">
        <v>2.1</v>
      </c>
      <c r="L543">
        <v>5.99</v>
      </c>
      <c r="M543">
        <v>6.19</v>
      </c>
    </row>
    <row r="544" spans="1:13" x14ac:dyDescent="0.2">
      <c r="A544" t="s">
        <v>553</v>
      </c>
      <c r="B544">
        <v>25</v>
      </c>
      <c r="C544" t="s">
        <v>13</v>
      </c>
      <c r="D544">
        <v>7.8</v>
      </c>
      <c r="E544">
        <v>3.1</v>
      </c>
      <c r="G544">
        <v>2.2000000000000002</v>
      </c>
      <c r="H544">
        <v>1.6</v>
      </c>
      <c r="I544">
        <v>6.6</v>
      </c>
      <c r="J544">
        <v>74</v>
      </c>
      <c r="K544">
        <v>2.5</v>
      </c>
      <c r="L544">
        <v>7.2</v>
      </c>
      <c r="M544">
        <v>7.4</v>
      </c>
    </row>
    <row r="545" spans="1:13" x14ac:dyDescent="0.2">
      <c r="A545" t="s">
        <v>554</v>
      </c>
      <c r="B545">
        <v>22</v>
      </c>
      <c r="C545" t="s">
        <v>13</v>
      </c>
      <c r="D545">
        <v>5.6</v>
      </c>
      <c r="E545">
        <v>2.2000000000000002</v>
      </c>
      <c r="G545">
        <v>4.4000000000000004</v>
      </c>
      <c r="H545">
        <v>1.1000000000000001</v>
      </c>
      <c r="I545">
        <v>7.9</v>
      </c>
      <c r="J545">
        <v>86</v>
      </c>
      <c r="K545">
        <v>2.9</v>
      </c>
      <c r="L545">
        <v>8.4700000000000006</v>
      </c>
      <c r="M545">
        <v>8.67</v>
      </c>
    </row>
    <row r="546" spans="1:13" x14ac:dyDescent="0.2">
      <c r="A546" t="s">
        <v>555</v>
      </c>
      <c r="B546">
        <v>17</v>
      </c>
      <c r="C546" t="s">
        <v>17</v>
      </c>
      <c r="D546">
        <v>4.0999999999999996</v>
      </c>
      <c r="E546">
        <v>1.6</v>
      </c>
      <c r="G546">
        <v>5.9</v>
      </c>
      <c r="H546">
        <v>0.8</v>
      </c>
      <c r="I546">
        <v>8.1999999999999993</v>
      </c>
      <c r="J546">
        <v>78</v>
      </c>
      <c r="K546">
        <v>2.6</v>
      </c>
      <c r="L546">
        <v>7.63</v>
      </c>
      <c r="M546">
        <v>7.83</v>
      </c>
    </row>
    <row r="547" spans="1:13" x14ac:dyDescent="0.2">
      <c r="A547" t="s">
        <v>556</v>
      </c>
      <c r="B547">
        <v>24</v>
      </c>
      <c r="C547" t="s">
        <v>13</v>
      </c>
      <c r="D547">
        <v>6.4</v>
      </c>
      <c r="E547">
        <v>2.6</v>
      </c>
      <c r="G547">
        <v>3.6</v>
      </c>
      <c r="H547">
        <v>1.3</v>
      </c>
      <c r="I547">
        <v>7.5</v>
      </c>
      <c r="J547">
        <v>79</v>
      </c>
      <c r="K547">
        <v>2.6</v>
      </c>
      <c r="L547">
        <v>7.74</v>
      </c>
      <c r="M547">
        <v>7.94</v>
      </c>
    </row>
    <row r="548" spans="1:13" x14ac:dyDescent="0.2">
      <c r="A548" t="s">
        <v>557</v>
      </c>
      <c r="B548">
        <v>17</v>
      </c>
      <c r="C548" t="s">
        <v>17</v>
      </c>
      <c r="D548">
        <v>8.3000000000000007</v>
      </c>
      <c r="E548">
        <v>3.3</v>
      </c>
      <c r="G548">
        <v>1.7</v>
      </c>
      <c r="H548">
        <v>1.7</v>
      </c>
      <c r="I548">
        <v>6</v>
      </c>
      <c r="J548">
        <v>58</v>
      </c>
      <c r="K548">
        <v>1.9</v>
      </c>
      <c r="L548">
        <v>5.62</v>
      </c>
      <c r="M548">
        <v>5.82</v>
      </c>
    </row>
    <row r="549" spans="1:13" x14ac:dyDescent="0.2">
      <c r="A549" t="s">
        <v>558</v>
      </c>
      <c r="B549">
        <v>21</v>
      </c>
      <c r="C549" t="s">
        <v>13</v>
      </c>
      <c r="D549">
        <v>9.8000000000000007</v>
      </c>
      <c r="E549">
        <v>3.9</v>
      </c>
      <c r="G549">
        <v>0.2</v>
      </c>
      <c r="H549">
        <v>2</v>
      </c>
      <c r="I549">
        <v>6.3</v>
      </c>
      <c r="J549">
        <v>64</v>
      </c>
      <c r="K549">
        <v>2.2000000000000002</v>
      </c>
      <c r="L549">
        <v>6.29</v>
      </c>
      <c r="M549">
        <v>6.49</v>
      </c>
    </row>
    <row r="550" spans="1:13" x14ac:dyDescent="0.2">
      <c r="A550" t="s">
        <v>559</v>
      </c>
      <c r="B550">
        <v>24</v>
      </c>
      <c r="C550" t="s">
        <v>13</v>
      </c>
      <c r="D550">
        <v>8.6999999999999993</v>
      </c>
      <c r="E550">
        <v>3.5</v>
      </c>
      <c r="G550">
        <v>1.3</v>
      </c>
      <c r="H550">
        <v>1.7</v>
      </c>
      <c r="I550">
        <v>5.8</v>
      </c>
      <c r="J550">
        <v>59</v>
      </c>
      <c r="K550">
        <v>2</v>
      </c>
      <c r="L550">
        <v>5.79</v>
      </c>
      <c r="M550">
        <v>5.99</v>
      </c>
    </row>
    <row r="551" spans="1:13" x14ac:dyDescent="0.2">
      <c r="A551" t="s">
        <v>582</v>
      </c>
      <c r="B551">
        <v>0</v>
      </c>
      <c r="C551">
        <v>34</v>
      </c>
      <c r="D551">
        <v>43</v>
      </c>
      <c r="E551">
        <v>3.3</v>
      </c>
      <c r="G551">
        <v>6</v>
      </c>
      <c r="H551">
        <v>657</v>
      </c>
      <c r="I551">
        <v>54</v>
      </c>
      <c r="J551" t="s">
        <v>583</v>
      </c>
      <c r="K551">
        <v>43</v>
      </c>
      <c r="L551">
        <v>23</v>
      </c>
      <c r="M551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3D4AB-79CA-884A-9A5E-1A19FCA51F34}">
  <dimension ref="A1:Z547"/>
  <sheetViews>
    <sheetView topLeftCell="H1" zoomScale="90" zoomScaleNormal="90" workbookViewId="0">
      <selection activeCell="P2" sqref="P2"/>
    </sheetView>
  </sheetViews>
  <sheetFormatPr baseColWidth="10" defaultRowHeight="16" x14ac:dyDescent="0.2"/>
  <cols>
    <col min="1" max="1" width="15" customWidth="1"/>
    <col min="2" max="2" width="7.6640625" customWidth="1"/>
    <col min="3" max="3" width="12" customWidth="1"/>
    <col min="4" max="4" width="21.83203125" customWidth="1"/>
    <col min="5" max="5" width="18.83203125" customWidth="1"/>
    <col min="6" max="6" width="16" customWidth="1"/>
    <col min="9" max="9" width="17" customWidth="1"/>
    <col min="10" max="10" width="16.1640625" customWidth="1"/>
    <col min="11" max="11" width="15.1640625" customWidth="1"/>
    <col min="12" max="12" width="19.1640625" customWidth="1"/>
    <col min="15" max="15" width="21.6640625" style="2" customWidth="1"/>
    <col min="16" max="16" width="7" customWidth="1"/>
    <col min="17" max="17" width="22.1640625" customWidth="1"/>
    <col min="18" max="18" width="12.33203125" customWidth="1"/>
    <col min="19" max="19" width="14.33203125" customWidth="1"/>
    <col min="20" max="20" width="15" customWidth="1"/>
    <col min="21" max="21" width="14.6640625" customWidth="1"/>
    <col min="22" max="22" width="16.6640625" customWidth="1"/>
    <col min="23" max="23" width="19.6640625" customWidth="1"/>
    <col min="24" max="24" width="19.33203125" customWidth="1"/>
    <col min="25" max="25" width="18.1640625" customWidth="1"/>
    <col min="26" max="26" width="10.83203125" customWidth="1"/>
  </cols>
  <sheetData>
    <row r="1" spans="1:26" s="5" customFormat="1" x14ac:dyDescent="0.2">
      <c r="A1" s="5" t="s">
        <v>560</v>
      </c>
      <c r="B1" s="5" t="s">
        <v>1</v>
      </c>
      <c r="C1" s="5" t="s">
        <v>2</v>
      </c>
      <c r="D1" s="5" t="s">
        <v>561</v>
      </c>
      <c r="E1" s="5" t="s">
        <v>562</v>
      </c>
      <c r="F1" s="5" t="s">
        <v>563</v>
      </c>
      <c r="G1" s="5" t="s">
        <v>564</v>
      </c>
      <c r="H1" s="5" t="s">
        <v>565</v>
      </c>
      <c r="I1" s="5" t="s">
        <v>566</v>
      </c>
      <c r="J1" s="5" t="s">
        <v>567</v>
      </c>
      <c r="K1" s="5" t="s">
        <v>568</v>
      </c>
      <c r="L1" s="5" t="s">
        <v>569</v>
      </c>
      <c r="M1" s="5" t="s">
        <v>579</v>
      </c>
      <c r="O1" s="2"/>
      <c r="P1" s="5" t="s">
        <v>1</v>
      </c>
      <c r="Q1" s="3" t="s">
        <v>561</v>
      </c>
      <c r="R1" s="4" t="s">
        <v>562</v>
      </c>
      <c r="S1" s="4" t="s">
        <v>563</v>
      </c>
      <c r="T1" s="4" t="s">
        <v>564</v>
      </c>
      <c r="U1" s="4" t="s">
        <v>565</v>
      </c>
      <c r="V1" s="5" t="s">
        <v>566</v>
      </c>
      <c r="W1" s="5" t="s">
        <v>567</v>
      </c>
      <c r="X1" s="5" t="s">
        <v>568</v>
      </c>
      <c r="Y1" s="5" t="s">
        <v>569</v>
      </c>
    </row>
    <row r="2" spans="1:26" x14ac:dyDescent="0.2">
      <c r="A2" t="s">
        <v>14</v>
      </c>
      <c r="B2">
        <v>24</v>
      </c>
      <c r="C2" t="s">
        <v>13</v>
      </c>
      <c r="D2">
        <v>4.9000000000000004</v>
      </c>
      <c r="E2">
        <v>2</v>
      </c>
      <c r="F2">
        <v>5.0999999999999996</v>
      </c>
      <c r="G2">
        <v>1</v>
      </c>
      <c r="H2">
        <v>8.3000000000000007</v>
      </c>
      <c r="I2">
        <v>79</v>
      </c>
      <c r="J2">
        <v>2.6</v>
      </c>
      <c r="K2">
        <v>7.72</v>
      </c>
      <c r="L2">
        <v>7.92</v>
      </c>
      <c r="M2">
        <f t="shared" ref="M2:M65" si="0">F2+J2</f>
        <v>7.6999999999999993</v>
      </c>
      <c r="O2" s="2" t="s">
        <v>570</v>
      </c>
      <c r="P2" s="1">
        <v>23.5</v>
      </c>
      <c r="Q2" s="1">
        <v>7.4499999999999993</v>
      </c>
      <c r="R2" s="1">
        <v>3</v>
      </c>
      <c r="S2" s="1">
        <v>2.5499999999999998</v>
      </c>
      <c r="T2" s="1">
        <v>1.45</v>
      </c>
      <c r="U2" s="1">
        <v>6.4499999999999993</v>
      </c>
      <c r="V2" s="1">
        <v>69</v>
      </c>
      <c r="W2" s="1">
        <v>2.2999999999999998</v>
      </c>
      <c r="X2" s="1">
        <v>6.7650000000000006</v>
      </c>
      <c r="Y2" s="1">
        <v>6.9649999999999999</v>
      </c>
      <c r="Z2" s="1"/>
    </row>
    <row r="3" spans="1:26" x14ac:dyDescent="0.2">
      <c r="A3" t="s">
        <v>15</v>
      </c>
      <c r="B3">
        <v>18</v>
      </c>
      <c r="C3" t="s">
        <v>13</v>
      </c>
      <c r="D3">
        <v>7.9</v>
      </c>
      <c r="E3">
        <v>3.2</v>
      </c>
      <c r="F3">
        <v>2.1</v>
      </c>
      <c r="G3">
        <v>1.6</v>
      </c>
      <c r="H3">
        <v>7.1</v>
      </c>
      <c r="I3">
        <v>68</v>
      </c>
      <c r="J3">
        <v>2.2999999999999998</v>
      </c>
      <c r="K3">
        <v>6.67</v>
      </c>
      <c r="L3">
        <v>6.87</v>
      </c>
      <c r="M3">
        <f t="shared" si="0"/>
        <v>4.4000000000000004</v>
      </c>
      <c r="O3" s="2" t="s">
        <v>571</v>
      </c>
      <c r="P3" s="1">
        <v>23.5</v>
      </c>
      <c r="Q3" s="1">
        <v>7.4499999999999993</v>
      </c>
      <c r="R3" s="1">
        <v>3</v>
      </c>
      <c r="S3" s="1">
        <v>2.5499999999999998</v>
      </c>
      <c r="T3" s="1">
        <v>1.45</v>
      </c>
      <c r="U3" s="1">
        <v>6.4499999999999993</v>
      </c>
      <c r="V3" s="1">
        <v>69</v>
      </c>
      <c r="W3" s="1">
        <v>2.2999999999999998</v>
      </c>
      <c r="X3" s="1">
        <v>6.7650000000000006</v>
      </c>
      <c r="Y3" s="1">
        <v>6.9649999999999999</v>
      </c>
      <c r="Z3" s="1"/>
    </row>
    <row r="4" spans="1:26" x14ac:dyDescent="0.2">
      <c r="A4" t="s">
        <v>16</v>
      </c>
      <c r="B4">
        <v>17</v>
      </c>
      <c r="C4" t="s">
        <v>17</v>
      </c>
      <c r="D4">
        <v>10</v>
      </c>
      <c r="E4">
        <v>4</v>
      </c>
      <c r="F4">
        <v>0</v>
      </c>
      <c r="G4">
        <v>2</v>
      </c>
      <c r="H4">
        <v>5.9</v>
      </c>
      <c r="I4">
        <v>63</v>
      </c>
      <c r="J4">
        <v>2.1</v>
      </c>
      <c r="K4">
        <v>6.1</v>
      </c>
      <c r="L4">
        <v>6.3</v>
      </c>
      <c r="M4">
        <f t="shared" si="0"/>
        <v>2.1</v>
      </c>
      <c r="O4" s="2" t="s">
        <v>572</v>
      </c>
      <c r="P4" s="1">
        <v>17</v>
      </c>
      <c r="Q4" s="1">
        <v>9.1999999999999993</v>
      </c>
      <c r="R4" s="1">
        <v>1.8</v>
      </c>
      <c r="S4" s="1">
        <v>0.8</v>
      </c>
      <c r="T4" s="1">
        <v>1.7</v>
      </c>
      <c r="U4" s="1">
        <v>6.3</v>
      </c>
      <c r="V4" s="1">
        <v>78</v>
      </c>
      <c r="W4" s="1">
        <v>2.6</v>
      </c>
      <c r="X4" s="1">
        <v>6.01</v>
      </c>
      <c r="Y4" s="1">
        <v>6.21</v>
      </c>
      <c r="Z4" s="1"/>
    </row>
    <row r="5" spans="1:26" x14ac:dyDescent="0.2">
      <c r="A5" t="s">
        <v>18</v>
      </c>
      <c r="B5">
        <v>23</v>
      </c>
      <c r="C5" t="s">
        <v>13</v>
      </c>
      <c r="D5">
        <v>7.7</v>
      </c>
      <c r="E5">
        <v>3.1</v>
      </c>
      <c r="F5">
        <v>2.2999999999999998</v>
      </c>
      <c r="G5">
        <v>1.5</v>
      </c>
      <c r="H5">
        <v>6.4</v>
      </c>
      <c r="I5">
        <v>69</v>
      </c>
      <c r="J5">
        <v>2.2999999999999998</v>
      </c>
      <c r="K5">
        <v>6.77</v>
      </c>
      <c r="L5">
        <v>6.97</v>
      </c>
      <c r="M5">
        <f t="shared" si="0"/>
        <v>4.5999999999999996</v>
      </c>
      <c r="O5" s="2" t="s">
        <v>573</v>
      </c>
      <c r="P5" s="1">
        <v>17</v>
      </c>
      <c r="Q5" s="1">
        <v>4</v>
      </c>
      <c r="R5" s="1">
        <v>1.6</v>
      </c>
      <c r="S5" s="1">
        <v>0</v>
      </c>
      <c r="T5" s="1">
        <v>0.8</v>
      </c>
      <c r="U5" s="1">
        <v>5</v>
      </c>
      <c r="V5" s="1">
        <v>55</v>
      </c>
      <c r="W5" s="1">
        <v>1.8</v>
      </c>
      <c r="X5" s="1">
        <v>5.3</v>
      </c>
      <c r="Y5" s="1">
        <v>5.5</v>
      </c>
      <c r="Z5" s="1"/>
    </row>
    <row r="6" spans="1:26" x14ac:dyDescent="0.2">
      <c r="A6" t="s">
        <v>19</v>
      </c>
      <c r="B6">
        <v>25</v>
      </c>
      <c r="C6" t="s">
        <v>17</v>
      </c>
      <c r="D6">
        <v>7.6</v>
      </c>
      <c r="E6">
        <v>3</v>
      </c>
      <c r="F6">
        <v>2.4</v>
      </c>
      <c r="G6">
        <v>1.5</v>
      </c>
      <c r="H6">
        <v>6.9</v>
      </c>
      <c r="I6">
        <v>68</v>
      </c>
      <c r="J6">
        <v>2.2999999999999998</v>
      </c>
      <c r="K6">
        <v>6.66</v>
      </c>
      <c r="L6">
        <v>6.86</v>
      </c>
      <c r="M6">
        <f t="shared" si="0"/>
        <v>4.6999999999999993</v>
      </c>
      <c r="O6" s="2" t="s">
        <v>574</v>
      </c>
      <c r="P6" s="1">
        <v>25</v>
      </c>
      <c r="Q6" s="1">
        <v>10</v>
      </c>
      <c r="R6" s="1">
        <v>4</v>
      </c>
      <c r="S6" s="1">
        <v>6</v>
      </c>
      <c r="T6" s="1">
        <v>2</v>
      </c>
      <c r="U6" s="1">
        <v>8.5</v>
      </c>
      <c r="V6" s="1">
        <v>97</v>
      </c>
      <c r="W6" s="1">
        <v>3.3</v>
      </c>
      <c r="X6" s="1">
        <v>9.57</v>
      </c>
      <c r="Y6" s="1">
        <v>9.77</v>
      </c>
      <c r="Z6" s="1"/>
    </row>
    <row r="7" spans="1:26" x14ac:dyDescent="0.2">
      <c r="A7" t="s">
        <v>20</v>
      </c>
      <c r="B7">
        <v>25</v>
      </c>
      <c r="C7" t="s">
        <v>13</v>
      </c>
      <c r="D7">
        <v>4.0999999999999996</v>
      </c>
      <c r="E7">
        <v>1.6</v>
      </c>
      <c r="F7">
        <v>5.9</v>
      </c>
      <c r="G7">
        <v>0.8</v>
      </c>
      <c r="H7">
        <v>7.8</v>
      </c>
      <c r="I7">
        <v>96</v>
      </c>
      <c r="J7">
        <v>3.2</v>
      </c>
      <c r="K7">
        <v>9.48</v>
      </c>
      <c r="L7">
        <v>9.68</v>
      </c>
      <c r="M7">
        <f t="shared" si="0"/>
        <v>9.1000000000000014</v>
      </c>
      <c r="O7" s="2" t="s">
        <v>575</v>
      </c>
      <c r="P7" s="1">
        <v>2.5877125696346779</v>
      </c>
      <c r="Q7" s="1">
        <v>1.7748716778204481</v>
      </c>
      <c r="R7" s="1">
        <v>0.71297776878864472</v>
      </c>
      <c r="S7" s="1">
        <v>1.7748716778204343</v>
      </c>
      <c r="T7" s="1">
        <v>0.35792057003721334</v>
      </c>
      <c r="U7" s="1">
        <v>0.94719741793883916</v>
      </c>
      <c r="V7" s="1">
        <v>11.747772081230305</v>
      </c>
      <c r="W7" s="1">
        <v>0.39361506898130622</v>
      </c>
      <c r="X7" s="1">
        <v>1.1767005646464406</v>
      </c>
      <c r="Y7" s="1">
        <v>1.1767005646464519</v>
      </c>
      <c r="Z7" s="1"/>
    </row>
    <row r="8" spans="1:26" x14ac:dyDescent="0.2">
      <c r="A8" t="s">
        <v>21</v>
      </c>
      <c r="B8">
        <v>24</v>
      </c>
      <c r="C8" t="s">
        <v>17</v>
      </c>
      <c r="D8">
        <v>4.5999999999999996</v>
      </c>
      <c r="E8">
        <v>1.8</v>
      </c>
      <c r="F8">
        <v>5.4</v>
      </c>
      <c r="G8">
        <v>0.9</v>
      </c>
      <c r="H8">
        <v>7.7</v>
      </c>
      <c r="I8">
        <v>91</v>
      </c>
      <c r="J8">
        <v>3.1</v>
      </c>
      <c r="K8">
        <v>8.9700000000000006</v>
      </c>
      <c r="L8">
        <v>9.17</v>
      </c>
      <c r="M8">
        <f t="shared" si="0"/>
        <v>8.5</v>
      </c>
      <c r="O8" s="2" t="s">
        <v>576</v>
      </c>
      <c r="P8" s="1">
        <v>546</v>
      </c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2">
      <c r="A9" t="s">
        <v>22</v>
      </c>
      <c r="B9">
        <v>18</v>
      </c>
      <c r="C9" t="s">
        <v>13</v>
      </c>
      <c r="D9">
        <v>5</v>
      </c>
      <c r="E9">
        <v>2</v>
      </c>
      <c r="F9">
        <v>5</v>
      </c>
      <c r="G9">
        <v>1</v>
      </c>
      <c r="H9">
        <v>7.3</v>
      </c>
      <c r="I9">
        <v>85</v>
      </c>
      <c r="J9">
        <v>2.9</v>
      </c>
      <c r="K9">
        <v>8.3800000000000008</v>
      </c>
      <c r="L9">
        <v>8.58</v>
      </c>
      <c r="M9">
        <f t="shared" si="0"/>
        <v>7.9</v>
      </c>
      <c r="O9" s="2" t="s">
        <v>577</v>
      </c>
      <c r="P9" s="1">
        <v>286</v>
      </c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2">
      <c r="A10" t="s">
        <v>23</v>
      </c>
      <c r="B10">
        <v>18</v>
      </c>
      <c r="C10" t="s">
        <v>13</v>
      </c>
      <c r="D10">
        <v>7.1</v>
      </c>
      <c r="E10">
        <v>2.8</v>
      </c>
      <c r="F10">
        <v>2.9</v>
      </c>
      <c r="G10">
        <v>1.4</v>
      </c>
      <c r="H10">
        <v>6.3</v>
      </c>
      <c r="I10">
        <v>74</v>
      </c>
      <c r="J10">
        <v>2.5</v>
      </c>
      <c r="K10">
        <v>7.26</v>
      </c>
      <c r="L10">
        <v>7.46</v>
      </c>
      <c r="M10">
        <f t="shared" si="0"/>
        <v>5.4</v>
      </c>
      <c r="O10" s="2" t="s">
        <v>578</v>
      </c>
      <c r="P10" s="1">
        <v>260</v>
      </c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2">
      <c r="A11" t="s">
        <v>24</v>
      </c>
      <c r="B11">
        <v>23</v>
      </c>
      <c r="C11" t="s">
        <v>13</v>
      </c>
      <c r="D11">
        <v>9.4</v>
      </c>
      <c r="E11">
        <v>3.8</v>
      </c>
      <c r="F11">
        <v>0.6</v>
      </c>
      <c r="G11">
        <v>1.9</v>
      </c>
      <c r="H11">
        <v>6.4</v>
      </c>
      <c r="I11">
        <v>62</v>
      </c>
      <c r="J11">
        <v>2.1</v>
      </c>
      <c r="K11">
        <v>6.08</v>
      </c>
      <c r="L11">
        <v>6.28</v>
      </c>
      <c r="M11">
        <f t="shared" si="0"/>
        <v>2.7</v>
      </c>
      <c r="O11" s="2" t="s">
        <v>580</v>
      </c>
      <c r="P11" s="1">
        <f>AVERAGEIF(C2:C547,"Female",M2:M547)</f>
        <v>5.2254826254826261</v>
      </c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2">
      <c r="A12" t="s">
        <v>25</v>
      </c>
      <c r="B12">
        <v>21</v>
      </c>
      <c r="C12" t="s">
        <v>13</v>
      </c>
      <c r="D12">
        <v>4.3</v>
      </c>
      <c r="E12">
        <v>1.7</v>
      </c>
      <c r="F12">
        <v>5.7</v>
      </c>
      <c r="G12">
        <v>0.9</v>
      </c>
      <c r="H12">
        <v>7.6</v>
      </c>
      <c r="I12">
        <v>84</v>
      </c>
      <c r="J12">
        <v>2.8</v>
      </c>
      <c r="K12">
        <v>8.25</v>
      </c>
      <c r="L12">
        <v>8.4499999999999993</v>
      </c>
      <c r="M12">
        <f t="shared" si="0"/>
        <v>8.5</v>
      </c>
      <c r="O12" s="2" t="s">
        <v>581</v>
      </c>
      <c r="P12">
        <f>AVERAGEIF(C2:C547, "Male",M2:M547)</f>
        <v>5.4346153846153848</v>
      </c>
    </row>
    <row r="13" spans="1:26" x14ac:dyDescent="0.2">
      <c r="A13" t="s">
        <v>26</v>
      </c>
      <c r="B13">
        <v>17</v>
      </c>
      <c r="C13" t="s">
        <v>17</v>
      </c>
      <c r="D13">
        <v>6.1</v>
      </c>
      <c r="E13">
        <v>2.4</v>
      </c>
      <c r="F13">
        <v>3.9</v>
      </c>
      <c r="G13">
        <v>1.2</v>
      </c>
      <c r="H13">
        <v>6.8</v>
      </c>
      <c r="I13">
        <v>71</v>
      </c>
      <c r="J13">
        <v>2.4</v>
      </c>
      <c r="K13">
        <v>6.9399999999999897</v>
      </c>
      <c r="L13">
        <v>7.14</v>
      </c>
      <c r="M13">
        <f t="shared" si="0"/>
        <v>6.3</v>
      </c>
    </row>
    <row r="14" spans="1:26" x14ac:dyDescent="0.2">
      <c r="A14" t="s">
        <v>27</v>
      </c>
      <c r="B14">
        <v>19</v>
      </c>
      <c r="C14" t="s">
        <v>17</v>
      </c>
      <c r="D14">
        <v>9.9</v>
      </c>
      <c r="E14">
        <v>4</v>
      </c>
      <c r="F14">
        <v>0.1</v>
      </c>
      <c r="G14">
        <v>2</v>
      </c>
      <c r="H14">
        <v>5.3</v>
      </c>
      <c r="I14">
        <v>65</v>
      </c>
      <c r="J14">
        <v>2.2000000000000002</v>
      </c>
      <c r="K14">
        <v>6.3</v>
      </c>
      <c r="L14">
        <v>6.5</v>
      </c>
      <c r="M14">
        <f t="shared" si="0"/>
        <v>2.3000000000000003</v>
      </c>
    </row>
    <row r="15" spans="1:26" x14ac:dyDescent="0.2">
      <c r="A15" t="s">
        <v>28</v>
      </c>
      <c r="B15">
        <v>23</v>
      </c>
      <c r="C15" t="s">
        <v>13</v>
      </c>
      <c r="D15">
        <v>8.3000000000000007</v>
      </c>
      <c r="E15">
        <v>3.3</v>
      </c>
      <c r="F15">
        <v>1.7</v>
      </c>
      <c r="G15">
        <v>1.7</v>
      </c>
      <c r="H15">
        <v>5.9</v>
      </c>
      <c r="I15">
        <v>65</v>
      </c>
      <c r="J15">
        <v>2.2000000000000002</v>
      </c>
      <c r="K15">
        <v>6.33</v>
      </c>
      <c r="L15">
        <v>6.53</v>
      </c>
      <c r="M15">
        <f t="shared" si="0"/>
        <v>3.9000000000000004</v>
      </c>
    </row>
    <row r="16" spans="1:26" x14ac:dyDescent="0.2">
      <c r="A16" t="s">
        <v>29</v>
      </c>
      <c r="B16">
        <v>17</v>
      </c>
      <c r="C16" t="s">
        <v>13</v>
      </c>
      <c r="D16">
        <v>4.7</v>
      </c>
      <c r="E16">
        <v>1.9</v>
      </c>
      <c r="F16">
        <v>5.3</v>
      </c>
      <c r="G16">
        <v>0.9</v>
      </c>
      <c r="H16">
        <v>7.9</v>
      </c>
      <c r="I16">
        <v>95</v>
      </c>
      <c r="J16">
        <v>3.2</v>
      </c>
      <c r="K16">
        <v>9.33</v>
      </c>
      <c r="L16">
        <v>9.5299999999999994</v>
      </c>
      <c r="M16">
        <f t="shared" si="0"/>
        <v>8.5</v>
      </c>
    </row>
    <row r="17" spans="1:13" x14ac:dyDescent="0.2">
      <c r="A17" t="s">
        <v>30</v>
      </c>
      <c r="B17">
        <v>22</v>
      </c>
      <c r="C17" t="s">
        <v>17</v>
      </c>
      <c r="D17">
        <v>6.2</v>
      </c>
      <c r="E17">
        <v>2.5</v>
      </c>
      <c r="F17">
        <v>3.8</v>
      </c>
      <c r="G17">
        <v>1.2</v>
      </c>
      <c r="H17">
        <v>7</v>
      </c>
      <c r="I17">
        <v>76</v>
      </c>
      <c r="J17">
        <v>2.5</v>
      </c>
      <c r="K17">
        <v>7.3999999999999897</v>
      </c>
      <c r="L17">
        <v>7.6</v>
      </c>
      <c r="M17">
        <f t="shared" si="0"/>
        <v>6.3</v>
      </c>
    </row>
    <row r="18" spans="1:13" x14ac:dyDescent="0.2">
      <c r="A18" t="s">
        <v>31</v>
      </c>
      <c r="B18">
        <v>17</v>
      </c>
      <c r="C18" t="s">
        <v>17</v>
      </c>
      <c r="D18">
        <v>7.4</v>
      </c>
      <c r="E18">
        <v>3</v>
      </c>
      <c r="F18">
        <v>2.6</v>
      </c>
      <c r="G18">
        <v>1.5</v>
      </c>
      <c r="H18">
        <v>7.5</v>
      </c>
      <c r="I18">
        <v>72</v>
      </c>
      <c r="J18">
        <v>2.4</v>
      </c>
      <c r="K18">
        <v>7.06</v>
      </c>
      <c r="L18">
        <v>7.26</v>
      </c>
      <c r="M18">
        <f t="shared" si="0"/>
        <v>5</v>
      </c>
    </row>
    <row r="19" spans="1:13" x14ac:dyDescent="0.2">
      <c r="A19" t="s">
        <v>32</v>
      </c>
      <c r="B19">
        <v>19</v>
      </c>
      <c r="C19" t="s">
        <v>17</v>
      </c>
      <c r="D19">
        <v>7.4</v>
      </c>
      <c r="E19">
        <v>3</v>
      </c>
      <c r="F19">
        <v>2.6</v>
      </c>
      <c r="G19">
        <v>1.5</v>
      </c>
      <c r="H19">
        <v>6.7</v>
      </c>
      <c r="I19">
        <v>77</v>
      </c>
      <c r="J19">
        <v>2.6</v>
      </c>
      <c r="K19">
        <v>7.53</v>
      </c>
      <c r="L19">
        <v>7.73</v>
      </c>
      <c r="M19">
        <f t="shared" si="0"/>
        <v>5.2</v>
      </c>
    </row>
    <row r="20" spans="1:13" x14ac:dyDescent="0.2">
      <c r="A20" t="s">
        <v>33</v>
      </c>
      <c r="B20">
        <v>21</v>
      </c>
      <c r="C20" t="s">
        <v>17</v>
      </c>
      <c r="D20">
        <v>9.4</v>
      </c>
      <c r="E20">
        <v>3.8</v>
      </c>
      <c r="F20">
        <v>0.6</v>
      </c>
      <c r="G20">
        <v>1.9</v>
      </c>
      <c r="H20">
        <v>5.8</v>
      </c>
      <c r="I20">
        <v>61</v>
      </c>
      <c r="J20">
        <v>2</v>
      </c>
      <c r="K20">
        <v>5.92</v>
      </c>
      <c r="L20">
        <v>6.12</v>
      </c>
      <c r="M20">
        <f t="shared" si="0"/>
        <v>2.6</v>
      </c>
    </row>
    <row r="21" spans="1:13" x14ac:dyDescent="0.2">
      <c r="A21" t="s">
        <v>34</v>
      </c>
      <c r="B21">
        <v>19</v>
      </c>
      <c r="C21" t="s">
        <v>13</v>
      </c>
      <c r="D21">
        <v>7.6</v>
      </c>
      <c r="E21">
        <v>3</v>
      </c>
      <c r="F21">
        <v>2.4</v>
      </c>
      <c r="G21">
        <v>1.5</v>
      </c>
      <c r="H21">
        <v>6.3</v>
      </c>
      <c r="I21">
        <v>74</v>
      </c>
      <c r="J21">
        <v>2.5</v>
      </c>
      <c r="K21">
        <v>7.25</v>
      </c>
      <c r="L21">
        <v>7.45</v>
      </c>
      <c r="M21">
        <f t="shared" si="0"/>
        <v>4.9000000000000004</v>
      </c>
    </row>
    <row r="22" spans="1:13" x14ac:dyDescent="0.2">
      <c r="A22" t="s">
        <v>35</v>
      </c>
      <c r="B22">
        <v>22</v>
      </c>
      <c r="C22" t="s">
        <v>13</v>
      </c>
      <c r="D22">
        <v>9.3000000000000007</v>
      </c>
      <c r="E22">
        <v>3.7</v>
      </c>
      <c r="F22">
        <v>0.7</v>
      </c>
      <c r="G22">
        <v>1.9</v>
      </c>
      <c r="H22">
        <v>5.4</v>
      </c>
      <c r="I22">
        <v>63</v>
      </c>
      <c r="J22">
        <v>2.1</v>
      </c>
      <c r="K22">
        <v>6.1099999999999897</v>
      </c>
      <c r="L22">
        <v>6.31</v>
      </c>
      <c r="M22">
        <f t="shared" si="0"/>
        <v>2.8</v>
      </c>
    </row>
    <row r="23" spans="1:13" x14ac:dyDescent="0.2">
      <c r="A23" t="s">
        <v>36</v>
      </c>
      <c r="B23">
        <v>23</v>
      </c>
      <c r="C23" t="s">
        <v>13</v>
      </c>
      <c r="D23">
        <v>8.8000000000000007</v>
      </c>
      <c r="E23">
        <v>3.5</v>
      </c>
      <c r="F23">
        <v>1.2</v>
      </c>
      <c r="G23">
        <v>1.8</v>
      </c>
      <c r="H23">
        <v>6.3</v>
      </c>
      <c r="I23">
        <v>57</v>
      </c>
      <c r="J23">
        <v>1.9</v>
      </c>
      <c r="K23">
        <v>5.54</v>
      </c>
      <c r="L23">
        <v>5.74</v>
      </c>
      <c r="M23">
        <f t="shared" si="0"/>
        <v>3.0999999999999996</v>
      </c>
    </row>
    <row r="24" spans="1:13" x14ac:dyDescent="0.2">
      <c r="A24" t="s">
        <v>37</v>
      </c>
      <c r="B24">
        <v>20</v>
      </c>
      <c r="C24" t="s">
        <v>17</v>
      </c>
      <c r="D24">
        <v>6.1</v>
      </c>
      <c r="E24">
        <v>2.4</v>
      </c>
      <c r="F24">
        <v>3.9</v>
      </c>
      <c r="G24">
        <v>1.2</v>
      </c>
      <c r="H24">
        <v>6.4</v>
      </c>
      <c r="I24">
        <v>78</v>
      </c>
      <c r="J24">
        <v>2.6</v>
      </c>
      <c r="K24">
        <v>7.6899999999999897</v>
      </c>
      <c r="L24">
        <v>7.89</v>
      </c>
      <c r="M24">
        <f t="shared" si="0"/>
        <v>6.5</v>
      </c>
    </row>
    <row r="25" spans="1:13" x14ac:dyDescent="0.2">
      <c r="A25" t="s">
        <v>38</v>
      </c>
      <c r="B25">
        <v>21</v>
      </c>
      <c r="C25" t="s">
        <v>17</v>
      </c>
      <c r="D25">
        <v>9.1999999999999993</v>
      </c>
      <c r="E25">
        <v>3.7</v>
      </c>
      <c r="F25">
        <v>0.8</v>
      </c>
      <c r="G25">
        <v>1.8</v>
      </c>
      <c r="H25">
        <v>5.8</v>
      </c>
      <c r="I25">
        <v>55</v>
      </c>
      <c r="J25">
        <v>1.8</v>
      </c>
      <c r="K25">
        <v>5.31</v>
      </c>
      <c r="L25">
        <v>5.51</v>
      </c>
      <c r="M25">
        <f t="shared" si="0"/>
        <v>2.6</v>
      </c>
    </row>
    <row r="26" spans="1:13" x14ac:dyDescent="0.2">
      <c r="A26" t="s">
        <v>39</v>
      </c>
      <c r="B26">
        <v>24</v>
      </c>
      <c r="C26" t="s">
        <v>17</v>
      </c>
      <c r="D26">
        <v>4.7</v>
      </c>
      <c r="E26">
        <v>1.9</v>
      </c>
      <c r="F26">
        <v>5.3</v>
      </c>
      <c r="G26">
        <v>0.9</v>
      </c>
      <c r="H26">
        <v>8.4</v>
      </c>
      <c r="I26">
        <v>84</v>
      </c>
      <c r="J26">
        <v>2.8</v>
      </c>
      <c r="K26">
        <v>8.2799999999999994</v>
      </c>
      <c r="L26">
        <v>8.48</v>
      </c>
      <c r="M26">
        <f t="shared" si="0"/>
        <v>8.1</v>
      </c>
    </row>
    <row r="27" spans="1:13" x14ac:dyDescent="0.2">
      <c r="A27" t="s">
        <v>40</v>
      </c>
      <c r="B27">
        <v>18</v>
      </c>
      <c r="C27" t="s">
        <v>17</v>
      </c>
      <c r="D27">
        <v>6.4</v>
      </c>
      <c r="E27">
        <v>2.6</v>
      </c>
      <c r="F27">
        <v>3.6</v>
      </c>
      <c r="G27">
        <v>1.3</v>
      </c>
      <c r="H27">
        <v>6.4</v>
      </c>
      <c r="I27">
        <v>68</v>
      </c>
      <c r="J27">
        <v>2.2999999999999998</v>
      </c>
      <c r="K27">
        <v>6.68</v>
      </c>
      <c r="L27">
        <v>6.88</v>
      </c>
      <c r="M27">
        <f t="shared" si="0"/>
        <v>5.9</v>
      </c>
    </row>
    <row r="28" spans="1:13" x14ac:dyDescent="0.2">
      <c r="A28" t="s">
        <v>41</v>
      </c>
      <c r="B28">
        <v>18</v>
      </c>
      <c r="C28" t="s">
        <v>13</v>
      </c>
      <c r="D28">
        <v>5.8</v>
      </c>
      <c r="E28">
        <v>2.2999999999999998</v>
      </c>
      <c r="F28">
        <v>4.2</v>
      </c>
      <c r="G28">
        <v>1.2</v>
      </c>
      <c r="H28">
        <v>7.1</v>
      </c>
      <c r="I28">
        <v>83</v>
      </c>
      <c r="J28">
        <v>2.8</v>
      </c>
      <c r="K28">
        <v>8.17</v>
      </c>
      <c r="L28">
        <v>8.3699999999999992</v>
      </c>
      <c r="M28">
        <f t="shared" si="0"/>
        <v>7</v>
      </c>
    </row>
    <row r="29" spans="1:13" x14ac:dyDescent="0.2">
      <c r="A29" t="s">
        <v>42</v>
      </c>
      <c r="B29">
        <v>19</v>
      </c>
      <c r="C29" t="s">
        <v>13</v>
      </c>
      <c r="D29">
        <v>6.5</v>
      </c>
      <c r="E29">
        <v>2.6</v>
      </c>
      <c r="F29">
        <v>3.5</v>
      </c>
      <c r="G29">
        <v>1.3</v>
      </c>
      <c r="H29">
        <v>6.5</v>
      </c>
      <c r="I29">
        <v>68</v>
      </c>
      <c r="J29">
        <v>2.2999999999999998</v>
      </c>
      <c r="K29">
        <v>6.64</v>
      </c>
      <c r="L29">
        <v>6.84</v>
      </c>
      <c r="M29">
        <f t="shared" si="0"/>
        <v>5.8</v>
      </c>
    </row>
    <row r="30" spans="1:13" x14ac:dyDescent="0.2">
      <c r="A30" t="s">
        <v>43</v>
      </c>
      <c r="B30">
        <v>20</v>
      </c>
      <c r="C30" t="s">
        <v>17</v>
      </c>
      <c r="D30">
        <v>4.9000000000000004</v>
      </c>
      <c r="E30">
        <v>2</v>
      </c>
      <c r="F30">
        <v>5.0999999999999996</v>
      </c>
      <c r="G30">
        <v>1</v>
      </c>
      <c r="H30">
        <v>8.5</v>
      </c>
      <c r="I30">
        <v>87</v>
      </c>
      <c r="J30">
        <v>2.9</v>
      </c>
      <c r="K30">
        <v>8.58</v>
      </c>
      <c r="L30">
        <v>8.7799999999999994</v>
      </c>
      <c r="M30">
        <f t="shared" si="0"/>
        <v>8</v>
      </c>
    </row>
    <row r="31" spans="1:13" x14ac:dyDescent="0.2">
      <c r="A31" t="s">
        <v>44</v>
      </c>
      <c r="B31">
        <v>21</v>
      </c>
      <c r="C31" t="s">
        <v>13</v>
      </c>
      <c r="D31">
        <v>8.6</v>
      </c>
      <c r="E31">
        <v>3.4</v>
      </c>
      <c r="F31">
        <v>1.4</v>
      </c>
      <c r="G31">
        <v>1.7</v>
      </c>
      <c r="H31">
        <v>6.1</v>
      </c>
      <c r="I31">
        <v>58</v>
      </c>
      <c r="J31">
        <v>1.9</v>
      </c>
      <c r="K31">
        <v>5.6099999999999897</v>
      </c>
      <c r="L31">
        <v>5.81</v>
      </c>
      <c r="M31">
        <f t="shared" si="0"/>
        <v>3.3</v>
      </c>
    </row>
    <row r="32" spans="1:13" x14ac:dyDescent="0.2">
      <c r="A32" t="s">
        <v>45</v>
      </c>
      <c r="B32">
        <v>25</v>
      </c>
      <c r="C32" t="s">
        <v>13</v>
      </c>
      <c r="D32">
        <v>9.9</v>
      </c>
      <c r="E32">
        <v>4</v>
      </c>
      <c r="F32">
        <v>0.1</v>
      </c>
      <c r="G32">
        <v>2</v>
      </c>
      <c r="H32">
        <v>6.2</v>
      </c>
      <c r="I32">
        <v>60</v>
      </c>
      <c r="J32">
        <v>2</v>
      </c>
      <c r="K32">
        <v>5.8199999999999896</v>
      </c>
      <c r="L32">
        <v>6.02</v>
      </c>
      <c r="M32">
        <f t="shared" si="0"/>
        <v>2.1</v>
      </c>
    </row>
    <row r="33" spans="1:13" x14ac:dyDescent="0.2">
      <c r="A33" t="s">
        <v>46</v>
      </c>
      <c r="B33">
        <v>19</v>
      </c>
      <c r="C33" t="s">
        <v>13</v>
      </c>
      <c r="D33">
        <v>7</v>
      </c>
      <c r="E33">
        <v>2.8</v>
      </c>
      <c r="F33">
        <v>3</v>
      </c>
      <c r="G33">
        <v>1.4</v>
      </c>
      <c r="H33">
        <v>7.3</v>
      </c>
      <c r="I33">
        <v>76</v>
      </c>
      <c r="J33">
        <v>2.5</v>
      </c>
      <c r="K33">
        <v>7.43</v>
      </c>
      <c r="L33">
        <v>7.63</v>
      </c>
      <c r="M33">
        <f t="shared" si="0"/>
        <v>5.5</v>
      </c>
    </row>
    <row r="34" spans="1:13" x14ac:dyDescent="0.2">
      <c r="A34" t="s">
        <v>47</v>
      </c>
      <c r="B34">
        <v>25</v>
      </c>
      <c r="C34" t="s">
        <v>17</v>
      </c>
      <c r="D34">
        <v>7.1</v>
      </c>
      <c r="E34">
        <v>2.8</v>
      </c>
      <c r="F34">
        <v>2.9</v>
      </c>
      <c r="G34">
        <v>1.4</v>
      </c>
      <c r="H34">
        <v>7</v>
      </c>
      <c r="I34">
        <v>70</v>
      </c>
      <c r="J34">
        <v>2.4</v>
      </c>
      <c r="K34">
        <v>6.87</v>
      </c>
      <c r="L34">
        <v>7.07</v>
      </c>
      <c r="M34">
        <f t="shared" si="0"/>
        <v>5.3</v>
      </c>
    </row>
    <row r="35" spans="1:13" x14ac:dyDescent="0.2">
      <c r="A35" t="s">
        <v>48</v>
      </c>
      <c r="B35">
        <v>25</v>
      </c>
      <c r="C35" t="s">
        <v>13</v>
      </c>
      <c r="D35">
        <v>6.4</v>
      </c>
      <c r="E35">
        <v>2.6</v>
      </c>
      <c r="F35">
        <v>3.6</v>
      </c>
      <c r="G35">
        <v>1.3</v>
      </c>
      <c r="H35">
        <v>7.3</v>
      </c>
      <c r="I35">
        <v>74</v>
      </c>
      <c r="J35">
        <v>2.5</v>
      </c>
      <c r="K35">
        <v>7.22</v>
      </c>
      <c r="L35">
        <v>7.42</v>
      </c>
      <c r="M35">
        <f t="shared" si="0"/>
        <v>6.1</v>
      </c>
    </row>
    <row r="36" spans="1:13" x14ac:dyDescent="0.2">
      <c r="A36" t="s">
        <v>49</v>
      </c>
      <c r="B36">
        <v>25</v>
      </c>
      <c r="C36" t="s">
        <v>13</v>
      </c>
      <c r="D36">
        <v>9.5</v>
      </c>
      <c r="E36">
        <v>3.8</v>
      </c>
      <c r="F36">
        <v>0.5</v>
      </c>
      <c r="G36">
        <v>1.9</v>
      </c>
      <c r="H36">
        <v>5.4</v>
      </c>
      <c r="I36">
        <v>66</v>
      </c>
      <c r="J36">
        <v>2.2000000000000002</v>
      </c>
      <c r="K36">
        <v>6.4399999999999897</v>
      </c>
      <c r="L36">
        <v>6.64</v>
      </c>
      <c r="M36">
        <f t="shared" si="0"/>
        <v>2.7</v>
      </c>
    </row>
    <row r="37" spans="1:13" x14ac:dyDescent="0.2">
      <c r="A37" t="s">
        <v>50</v>
      </c>
      <c r="B37">
        <v>21</v>
      </c>
      <c r="C37" t="s">
        <v>13</v>
      </c>
      <c r="D37">
        <v>7.2</v>
      </c>
      <c r="E37">
        <v>2.9</v>
      </c>
      <c r="F37">
        <v>2.8</v>
      </c>
      <c r="G37">
        <v>1.4</v>
      </c>
      <c r="H37">
        <v>6.1</v>
      </c>
      <c r="I37">
        <v>70</v>
      </c>
      <c r="J37">
        <v>2.4</v>
      </c>
      <c r="K37">
        <v>6.89</v>
      </c>
      <c r="L37">
        <v>7.09</v>
      </c>
      <c r="M37">
        <f t="shared" si="0"/>
        <v>5.1999999999999993</v>
      </c>
    </row>
    <row r="38" spans="1:13" x14ac:dyDescent="0.2">
      <c r="A38" t="s">
        <v>51</v>
      </c>
      <c r="B38">
        <v>20</v>
      </c>
      <c r="C38" t="s">
        <v>13</v>
      </c>
      <c r="D38">
        <v>7.8</v>
      </c>
      <c r="E38">
        <v>3.1</v>
      </c>
      <c r="F38">
        <v>2.2000000000000002</v>
      </c>
      <c r="G38">
        <v>1.6</v>
      </c>
      <c r="H38">
        <v>6.5</v>
      </c>
      <c r="I38">
        <v>72</v>
      </c>
      <c r="J38">
        <v>2.4</v>
      </c>
      <c r="K38">
        <v>7.01</v>
      </c>
      <c r="L38">
        <v>7.21</v>
      </c>
      <c r="M38">
        <f t="shared" si="0"/>
        <v>4.5999999999999996</v>
      </c>
    </row>
    <row r="39" spans="1:13" x14ac:dyDescent="0.2">
      <c r="A39" t="s">
        <v>52</v>
      </c>
      <c r="B39">
        <v>24</v>
      </c>
      <c r="C39" t="s">
        <v>13</v>
      </c>
      <c r="D39">
        <v>6.4</v>
      </c>
      <c r="E39">
        <v>2.6</v>
      </c>
      <c r="F39">
        <v>3.6</v>
      </c>
      <c r="G39">
        <v>1.3</v>
      </c>
      <c r="H39">
        <v>7.3</v>
      </c>
      <c r="I39">
        <v>78</v>
      </c>
      <c r="J39">
        <v>2.6</v>
      </c>
      <c r="K39">
        <v>7.67</v>
      </c>
      <c r="L39">
        <v>7.87</v>
      </c>
      <c r="M39">
        <f t="shared" si="0"/>
        <v>6.2</v>
      </c>
    </row>
    <row r="40" spans="1:13" x14ac:dyDescent="0.2">
      <c r="A40" t="s">
        <v>53</v>
      </c>
      <c r="B40">
        <v>19</v>
      </c>
      <c r="C40" t="s">
        <v>17</v>
      </c>
      <c r="D40">
        <v>9.4</v>
      </c>
      <c r="E40">
        <v>3.8</v>
      </c>
      <c r="F40">
        <v>0.6</v>
      </c>
      <c r="G40">
        <v>1.9</v>
      </c>
      <c r="H40">
        <v>5</v>
      </c>
      <c r="I40">
        <v>62</v>
      </c>
      <c r="J40">
        <v>2.1</v>
      </c>
      <c r="K40">
        <v>6.09</v>
      </c>
      <c r="L40">
        <v>6.29</v>
      </c>
      <c r="M40">
        <f t="shared" si="0"/>
        <v>2.7</v>
      </c>
    </row>
    <row r="41" spans="1:13" x14ac:dyDescent="0.2">
      <c r="A41" t="s">
        <v>54</v>
      </c>
      <c r="B41">
        <v>19</v>
      </c>
      <c r="C41" t="s">
        <v>13</v>
      </c>
      <c r="D41">
        <v>4</v>
      </c>
      <c r="E41">
        <v>1.6</v>
      </c>
      <c r="F41">
        <v>6</v>
      </c>
      <c r="G41">
        <v>0.8</v>
      </c>
      <c r="H41">
        <v>7.8</v>
      </c>
      <c r="I41">
        <v>81</v>
      </c>
      <c r="J41">
        <v>2.7</v>
      </c>
      <c r="K41">
        <v>7.9199999999999902</v>
      </c>
      <c r="L41">
        <v>8.1199999999999992</v>
      </c>
      <c r="M41">
        <f t="shared" si="0"/>
        <v>8.6999999999999993</v>
      </c>
    </row>
    <row r="42" spans="1:13" x14ac:dyDescent="0.2">
      <c r="A42" t="s">
        <v>55</v>
      </c>
      <c r="B42">
        <v>20</v>
      </c>
      <c r="C42" t="s">
        <v>13</v>
      </c>
      <c r="D42">
        <v>10</v>
      </c>
      <c r="E42">
        <v>4</v>
      </c>
      <c r="F42">
        <v>0</v>
      </c>
      <c r="G42">
        <v>2</v>
      </c>
      <c r="H42">
        <v>5</v>
      </c>
      <c r="I42">
        <v>57</v>
      </c>
      <c r="J42">
        <v>1.9</v>
      </c>
      <c r="K42">
        <v>5.53</v>
      </c>
      <c r="L42">
        <v>5.73</v>
      </c>
      <c r="M42">
        <f t="shared" si="0"/>
        <v>1.9</v>
      </c>
    </row>
    <row r="43" spans="1:13" x14ac:dyDescent="0.2">
      <c r="A43" t="s">
        <v>56</v>
      </c>
      <c r="B43">
        <v>19</v>
      </c>
      <c r="C43" t="s">
        <v>13</v>
      </c>
      <c r="D43">
        <v>7.9</v>
      </c>
      <c r="E43">
        <v>3.2</v>
      </c>
      <c r="F43">
        <v>2.1</v>
      </c>
      <c r="G43">
        <v>1.6</v>
      </c>
      <c r="H43">
        <v>7</v>
      </c>
      <c r="I43">
        <v>78</v>
      </c>
      <c r="J43">
        <v>2.6</v>
      </c>
      <c r="K43">
        <v>7.62</v>
      </c>
      <c r="L43">
        <v>7.82</v>
      </c>
      <c r="M43">
        <f t="shared" si="0"/>
        <v>4.7</v>
      </c>
    </row>
    <row r="44" spans="1:13" x14ac:dyDescent="0.2">
      <c r="A44" t="s">
        <v>57</v>
      </c>
      <c r="B44">
        <v>22</v>
      </c>
      <c r="C44" t="s">
        <v>13</v>
      </c>
      <c r="D44">
        <v>5.6</v>
      </c>
      <c r="E44">
        <v>2.2000000000000002</v>
      </c>
      <c r="F44">
        <v>4.4000000000000004</v>
      </c>
      <c r="G44">
        <v>1.1000000000000001</v>
      </c>
      <c r="H44">
        <v>8.5</v>
      </c>
      <c r="I44">
        <v>82</v>
      </c>
      <c r="J44">
        <v>2.8</v>
      </c>
      <c r="K44">
        <v>8.09</v>
      </c>
      <c r="L44">
        <v>8.2899999999999991</v>
      </c>
      <c r="M44">
        <f t="shared" si="0"/>
        <v>7.2</v>
      </c>
    </row>
    <row r="45" spans="1:13" x14ac:dyDescent="0.2">
      <c r="A45" t="s">
        <v>58</v>
      </c>
      <c r="B45">
        <v>21</v>
      </c>
      <c r="C45" t="s">
        <v>13</v>
      </c>
      <c r="D45">
        <v>7.8</v>
      </c>
      <c r="E45">
        <v>3.1</v>
      </c>
      <c r="F45">
        <v>2.2000000000000002</v>
      </c>
      <c r="G45">
        <v>1.6</v>
      </c>
      <c r="H45">
        <v>6.8</v>
      </c>
      <c r="I45">
        <v>77</v>
      </c>
      <c r="J45">
        <v>2.6</v>
      </c>
      <c r="K45">
        <v>7.55</v>
      </c>
      <c r="L45">
        <v>7.75</v>
      </c>
      <c r="M45">
        <f t="shared" si="0"/>
        <v>4.8000000000000007</v>
      </c>
    </row>
    <row r="46" spans="1:13" x14ac:dyDescent="0.2">
      <c r="A46" t="s">
        <v>59</v>
      </c>
      <c r="B46">
        <v>17</v>
      </c>
      <c r="C46" t="s">
        <v>13</v>
      </c>
      <c r="D46">
        <v>8.3000000000000007</v>
      </c>
      <c r="E46">
        <v>3.3</v>
      </c>
      <c r="F46">
        <v>1.7</v>
      </c>
      <c r="G46">
        <v>1.7</v>
      </c>
      <c r="H46">
        <v>5</v>
      </c>
      <c r="I46">
        <v>58</v>
      </c>
      <c r="J46">
        <v>2</v>
      </c>
      <c r="K46">
        <v>5.67</v>
      </c>
      <c r="L46">
        <v>5.87</v>
      </c>
      <c r="M46">
        <f t="shared" si="0"/>
        <v>3.7</v>
      </c>
    </row>
    <row r="47" spans="1:13" x14ac:dyDescent="0.2">
      <c r="A47" t="s">
        <v>60</v>
      </c>
      <c r="B47">
        <v>25</v>
      </c>
      <c r="C47" t="s">
        <v>17</v>
      </c>
      <c r="D47">
        <v>9.6</v>
      </c>
      <c r="E47">
        <v>3.8</v>
      </c>
      <c r="F47">
        <v>0.4</v>
      </c>
      <c r="G47">
        <v>1.9</v>
      </c>
      <c r="H47">
        <v>6.4</v>
      </c>
      <c r="I47">
        <v>67</v>
      </c>
      <c r="J47">
        <v>2.2000000000000002</v>
      </c>
      <c r="K47">
        <v>6.54</v>
      </c>
      <c r="L47">
        <v>6.74</v>
      </c>
      <c r="M47">
        <f t="shared" si="0"/>
        <v>2.6</v>
      </c>
    </row>
    <row r="48" spans="1:13" x14ac:dyDescent="0.2">
      <c r="A48" t="s">
        <v>61</v>
      </c>
      <c r="B48">
        <v>17</v>
      </c>
      <c r="C48" t="s">
        <v>13</v>
      </c>
      <c r="D48">
        <v>9.6</v>
      </c>
      <c r="E48">
        <v>3.8</v>
      </c>
      <c r="F48">
        <v>0.4</v>
      </c>
      <c r="G48">
        <v>1.9</v>
      </c>
      <c r="H48">
        <v>6.4</v>
      </c>
      <c r="I48">
        <v>60</v>
      </c>
      <c r="J48">
        <v>2</v>
      </c>
      <c r="K48">
        <v>5.8599999999999897</v>
      </c>
      <c r="L48">
        <v>6.06</v>
      </c>
      <c r="M48">
        <f t="shared" si="0"/>
        <v>2.4</v>
      </c>
    </row>
    <row r="49" spans="1:13" x14ac:dyDescent="0.2">
      <c r="A49" t="s">
        <v>62</v>
      </c>
      <c r="B49">
        <v>18</v>
      </c>
      <c r="C49" t="s">
        <v>17</v>
      </c>
      <c r="D49">
        <v>5.8</v>
      </c>
      <c r="E49">
        <v>2.2999999999999998</v>
      </c>
      <c r="F49">
        <v>4.2</v>
      </c>
      <c r="G49">
        <v>1.2</v>
      </c>
      <c r="H49">
        <v>8.3000000000000007</v>
      </c>
      <c r="I49">
        <v>85</v>
      </c>
      <c r="J49">
        <v>2.9</v>
      </c>
      <c r="K49">
        <v>8.3699999999999992</v>
      </c>
      <c r="L49">
        <v>8.57</v>
      </c>
      <c r="M49">
        <f t="shared" si="0"/>
        <v>7.1</v>
      </c>
    </row>
    <row r="50" spans="1:13" x14ac:dyDescent="0.2">
      <c r="A50" t="s">
        <v>63</v>
      </c>
      <c r="B50">
        <v>18</v>
      </c>
      <c r="C50" t="s">
        <v>13</v>
      </c>
      <c r="D50">
        <v>6.4</v>
      </c>
      <c r="E50">
        <v>2.6</v>
      </c>
      <c r="F50">
        <v>3.6</v>
      </c>
      <c r="G50">
        <v>1.3</v>
      </c>
      <c r="H50">
        <v>7.4</v>
      </c>
      <c r="I50">
        <v>78</v>
      </c>
      <c r="J50">
        <v>2.6</v>
      </c>
      <c r="K50">
        <v>7.6099999999999897</v>
      </c>
      <c r="L50">
        <v>7.81</v>
      </c>
      <c r="M50">
        <f t="shared" si="0"/>
        <v>6.2</v>
      </c>
    </row>
    <row r="51" spans="1:13" x14ac:dyDescent="0.2">
      <c r="A51" t="s">
        <v>64</v>
      </c>
      <c r="B51">
        <v>18</v>
      </c>
      <c r="C51" t="s">
        <v>13</v>
      </c>
      <c r="D51">
        <v>8</v>
      </c>
      <c r="E51">
        <v>3.2</v>
      </c>
      <c r="F51">
        <v>2</v>
      </c>
      <c r="G51">
        <v>1.6</v>
      </c>
      <c r="H51">
        <v>5.4</v>
      </c>
      <c r="I51">
        <v>59</v>
      </c>
      <c r="J51">
        <v>2</v>
      </c>
      <c r="K51">
        <v>5.77</v>
      </c>
      <c r="L51">
        <v>5.97</v>
      </c>
      <c r="M51">
        <f t="shared" si="0"/>
        <v>4</v>
      </c>
    </row>
    <row r="52" spans="1:13" x14ac:dyDescent="0.2">
      <c r="A52" t="s">
        <v>65</v>
      </c>
      <c r="B52">
        <v>23</v>
      </c>
      <c r="C52" t="s">
        <v>13</v>
      </c>
      <c r="D52">
        <v>8.4</v>
      </c>
      <c r="E52">
        <v>3.4</v>
      </c>
      <c r="F52">
        <v>1.6</v>
      </c>
      <c r="G52">
        <v>1.7</v>
      </c>
      <c r="H52">
        <v>6.1</v>
      </c>
      <c r="I52">
        <v>64</v>
      </c>
      <c r="J52">
        <v>2.1</v>
      </c>
      <c r="K52">
        <v>6.21</v>
      </c>
      <c r="L52">
        <v>6.41</v>
      </c>
      <c r="M52">
        <f t="shared" si="0"/>
        <v>3.7</v>
      </c>
    </row>
    <row r="53" spans="1:13" x14ac:dyDescent="0.2">
      <c r="A53" t="s">
        <v>66</v>
      </c>
      <c r="B53">
        <v>23</v>
      </c>
      <c r="C53" t="s">
        <v>17</v>
      </c>
      <c r="D53">
        <v>8.9</v>
      </c>
      <c r="E53">
        <v>3.6</v>
      </c>
      <c r="F53">
        <v>1.1000000000000001</v>
      </c>
      <c r="G53">
        <v>1.8</v>
      </c>
      <c r="H53">
        <v>6.4</v>
      </c>
      <c r="I53">
        <v>66</v>
      </c>
      <c r="J53">
        <v>2.2000000000000002</v>
      </c>
      <c r="K53">
        <v>6.43</v>
      </c>
      <c r="L53">
        <v>6.63</v>
      </c>
      <c r="M53">
        <f t="shared" si="0"/>
        <v>3.3000000000000003</v>
      </c>
    </row>
    <row r="54" spans="1:13" x14ac:dyDescent="0.2">
      <c r="A54" t="s">
        <v>67</v>
      </c>
      <c r="B54">
        <v>23</v>
      </c>
      <c r="C54" t="s">
        <v>17</v>
      </c>
      <c r="D54">
        <v>7.8</v>
      </c>
      <c r="E54">
        <v>3.1</v>
      </c>
      <c r="F54">
        <v>2.2000000000000002</v>
      </c>
      <c r="G54">
        <v>1.6</v>
      </c>
      <c r="H54">
        <v>6.1</v>
      </c>
      <c r="I54">
        <v>70</v>
      </c>
      <c r="J54">
        <v>2.2999999999999998</v>
      </c>
      <c r="K54">
        <v>6.83</v>
      </c>
      <c r="L54">
        <v>7.03</v>
      </c>
      <c r="M54">
        <f t="shared" si="0"/>
        <v>4.5</v>
      </c>
    </row>
    <row r="55" spans="1:13" x14ac:dyDescent="0.2">
      <c r="A55" t="s">
        <v>68</v>
      </c>
      <c r="B55">
        <v>19</v>
      </c>
      <c r="C55" t="s">
        <v>17</v>
      </c>
      <c r="D55">
        <v>6.3</v>
      </c>
      <c r="E55">
        <v>2.5</v>
      </c>
      <c r="F55">
        <v>3.7</v>
      </c>
      <c r="G55">
        <v>1.3</v>
      </c>
      <c r="H55">
        <v>6.9</v>
      </c>
      <c r="I55">
        <v>69</v>
      </c>
      <c r="J55">
        <v>2.2999999999999998</v>
      </c>
      <c r="K55">
        <v>6.71</v>
      </c>
      <c r="L55">
        <v>6.91</v>
      </c>
      <c r="M55">
        <f t="shared" si="0"/>
        <v>6</v>
      </c>
    </row>
    <row r="56" spans="1:13" x14ac:dyDescent="0.2">
      <c r="A56" t="s">
        <v>69</v>
      </c>
      <c r="B56">
        <v>22</v>
      </c>
      <c r="C56" t="s">
        <v>17</v>
      </c>
      <c r="D56">
        <v>4.9000000000000004</v>
      </c>
      <c r="E56">
        <v>2</v>
      </c>
      <c r="F56">
        <v>5.0999999999999996</v>
      </c>
      <c r="G56">
        <v>1</v>
      </c>
      <c r="H56">
        <v>8.3000000000000007</v>
      </c>
      <c r="I56">
        <v>97</v>
      </c>
      <c r="J56">
        <v>3.3</v>
      </c>
      <c r="K56">
        <v>9.56</v>
      </c>
      <c r="L56">
        <v>9.76</v>
      </c>
      <c r="M56">
        <f t="shared" si="0"/>
        <v>8.3999999999999986</v>
      </c>
    </row>
    <row r="57" spans="1:13" x14ac:dyDescent="0.2">
      <c r="A57" t="s">
        <v>70</v>
      </c>
      <c r="B57">
        <v>17</v>
      </c>
      <c r="C57" t="s">
        <v>13</v>
      </c>
      <c r="D57">
        <v>4.2</v>
      </c>
      <c r="E57">
        <v>1.7</v>
      </c>
      <c r="F57">
        <v>5.8</v>
      </c>
      <c r="G57">
        <v>0.8</v>
      </c>
      <c r="H57">
        <v>7.5</v>
      </c>
      <c r="I57">
        <v>94</v>
      </c>
      <c r="J57">
        <v>3.2</v>
      </c>
      <c r="K57">
        <v>9.25</v>
      </c>
      <c r="L57">
        <v>9.4499999999999993</v>
      </c>
      <c r="M57">
        <f t="shared" si="0"/>
        <v>9</v>
      </c>
    </row>
    <row r="58" spans="1:13" x14ac:dyDescent="0.2">
      <c r="A58" t="s">
        <v>71</v>
      </c>
      <c r="B58">
        <v>22</v>
      </c>
      <c r="C58" t="s">
        <v>17</v>
      </c>
      <c r="D58">
        <v>8.6</v>
      </c>
      <c r="E58">
        <v>3.4</v>
      </c>
      <c r="F58">
        <v>1.4</v>
      </c>
      <c r="G58">
        <v>1.7</v>
      </c>
      <c r="H58">
        <v>5.9</v>
      </c>
      <c r="I58">
        <v>57</v>
      </c>
      <c r="J58">
        <v>1.9</v>
      </c>
      <c r="K58">
        <v>5.58</v>
      </c>
      <c r="L58">
        <v>5.78</v>
      </c>
      <c r="M58">
        <f t="shared" si="0"/>
        <v>3.3</v>
      </c>
    </row>
    <row r="59" spans="1:13" x14ac:dyDescent="0.2">
      <c r="A59" t="s">
        <v>72</v>
      </c>
      <c r="B59">
        <v>20</v>
      </c>
      <c r="C59" t="s">
        <v>13</v>
      </c>
      <c r="D59">
        <v>5.2</v>
      </c>
      <c r="E59">
        <v>2.1</v>
      </c>
      <c r="F59">
        <v>4.8</v>
      </c>
      <c r="G59">
        <v>1</v>
      </c>
      <c r="H59">
        <v>8</v>
      </c>
      <c r="I59">
        <v>86</v>
      </c>
      <c r="J59">
        <v>2.9</v>
      </c>
      <c r="K59">
        <v>8.42</v>
      </c>
      <c r="L59">
        <v>8.6199999999999992</v>
      </c>
      <c r="M59">
        <f t="shared" si="0"/>
        <v>7.6999999999999993</v>
      </c>
    </row>
    <row r="60" spans="1:13" x14ac:dyDescent="0.2">
      <c r="A60" t="s">
        <v>73</v>
      </c>
      <c r="B60">
        <v>24</v>
      </c>
      <c r="C60" t="s">
        <v>17</v>
      </c>
      <c r="D60">
        <v>9.9</v>
      </c>
      <c r="E60">
        <v>4</v>
      </c>
      <c r="F60">
        <v>0.1</v>
      </c>
      <c r="G60">
        <v>2</v>
      </c>
      <c r="H60">
        <v>5.5</v>
      </c>
      <c r="I60">
        <v>61</v>
      </c>
      <c r="J60">
        <v>2.1</v>
      </c>
      <c r="K60">
        <v>5.97</v>
      </c>
      <c r="L60">
        <v>6.17</v>
      </c>
      <c r="M60">
        <f t="shared" si="0"/>
        <v>2.2000000000000002</v>
      </c>
    </row>
    <row r="61" spans="1:13" x14ac:dyDescent="0.2">
      <c r="A61" t="s">
        <v>74</v>
      </c>
      <c r="B61">
        <v>21</v>
      </c>
      <c r="C61" t="s">
        <v>13</v>
      </c>
      <c r="D61">
        <v>6.6</v>
      </c>
      <c r="E61">
        <v>2.6</v>
      </c>
      <c r="F61">
        <v>3.4</v>
      </c>
      <c r="G61">
        <v>1.3</v>
      </c>
      <c r="H61">
        <v>6.4</v>
      </c>
      <c r="I61">
        <v>76</v>
      </c>
      <c r="J61">
        <v>2.6</v>
      </c>
      <c r="K61">
        <v>7.49</v>
      </c>
      <c r="L61">
        <v>7.69</v>
      </c>
      <c r="M61">
        <f t="shared" si="0"/>
        <v>6</v>
      </c>
    </row>
    <row r="62" spans="1:13" x14ac:dyDescent="0.2">
      <c r="A62" t="s">
        <v>75</v>
      </c>
      <c r="B62">
        <v>17</v>
      </c>
      <c r="C62" t="s">
        <v>17</v>
      </c>
      <c r="D62">
        <v>9</v>
      </c>
      <c r="E62">
        <v>3.6</v>
      </c>
      <c r="F62">
        <v>1</v>
      </c>
      <c r="G62">
        <v>1.8</v>
      </c>
      <c r="H62">
        <v>5.6</v>
      </c>
      <c r="I62">
        <v>64</v>
      </c>
      <c r="J62">
        <v>2.1</v>
      </c>
      <c r="K62">
        <v>6.2</v>
      </c>
      <c r="L62">
        <v>6.4</v>
      </c>
      <c r="M62">
        <f t="shared" si="0"/>
        <v>3.1</v>
      </c>
    </row>
    <row r="63" spans="1:13" x14ac:dyDescent="0.2">
      <c r="A63" t="s">
        <v>76</v>
      </c>
      <c r="B63">
        <v>21</v>
      </c>
      <c r="C63" t="s">
        <v>17</v>
      </c>
      <c r="D63">
        <v>5.5</v>
      </c>
      <c r="E63">
        <v>2.2000000000000002</v>
      </c>
      <c r="F63">
        <v>4.5</v>
      </c>
      <c r="G63">
        <v>1.1000000000000001</v>
      </c>
      <c r="H63">
        <v>8.1</v>
      </c>
      <c r="I63">
        <v>89</v>
      </c>
      <c r="J63">
        <v>3</v>
      </c>
      <c r="K63">
        <v>8.6999999999999993</v>
      </c>
      <c r="L63">
        <v>8.9</v>
      </c>
      <c r="M63">
        <f t="shared" si="0"/>
        <v>7.5</v>
      </c>
    </row>
    <row r="64" spans="1:13" x14ac:dyDescent="0.2">
      <c r="A64" t="s">
        <v>77</v>
      </c>
      <c r="B64">
        <v>23</v>
      </c>
      <c r="C64" t="s">
        <v>17</v>
      </c>
      <c r="D64">
        <v>9.6999999999999993</v>
      </c>
      <c r="E64">
        <v>3.9</v>
      </c>
      <c r="F64">
        <v>0.3</v>
      </c>
      <c r="G64">
        <v>1.9</v>
      </c>
      <c r="H64">
        <v>5.8</v>
      </c>
      <c r="I64">
        <v>64</v>
      </c>
      <c r="J64">
        <v>2.2000000000000002</v>
      </c>
      <c r="K64">
        <v>6.26</v>
      </c>
      <c r="L64">
        <v>6.46</v>
      </c>
      <c r="M64">
        <f t="shared" si="0"/>
        <v>2.5</v>
      </c>
    </row>
    <row r="65" spans="1:13" x14ac:dyDescent="0.2">
      <c r="A65" t="s">
        <v>78</v>
      </c>
      <c r="B65">
        <v>21</v>
      </c>
      <c r="C65" t="s">
        <v>17</v>
      </c>
      <c r="D65">
        <v>5.5</v>
      </c>
      <c r="E65">
        <v>2.2000000000000002</v>
      </c>
      <c r="F65">
        <v>4.5</v>
      </c>
      <c r="G65">
        <v>1.1000000000000001</v>
      </c>
      <c r="H65">
        <v>8.1</v>
      </c>
      <c r="I65">
        <v>85</v>
      </c>
      <c r="J65">
        <v>2.8</v>
      </c>
      <c r="K65">
        <v>8.31</v>
      </c>
      <c r="L65">
        <v>8.51</v>
      </c>
      <c r="M65">
        <f t="shared" si="0"/>
        <v>7.3</v>
      </c>
    </row>
    <row r="66" spans="1:13" x14ac:dyDescent="0.2">
      <c r="A66" t="s">
        <v>79</v>
      </c>
      <c r="B66">
        <v>21</v>
      </c>
      <c r="C66" t="s">
        <v>17</v>
      </c>
      <c r="D66">
        <v>4.2</v>
      </c>
      <c r="E66">
        <v>1.7</v>
      </c>
      <c r="F66">
        <v>5.8</v>
      </c>
      <c r="G66">
        <v>0.8</v>
      </c>
      <c r="H66">
        <v>8.1</v>
      </c>
      <c r="I66">
        <v>95</v>
      </c>
      <c r="J66">
        <v>3.2</v>
      </c>
      <c r="K66">
        <v>9.31</v>
      </c>
      <c r="L66">
        <v>9.51</v>
      </c>
      <c r="M66">
        <f t="shared" ref="M66:M129" si="1">F66+J66</f>
        <v>9</v>
      </c>
    </row>
    <row r="67" spans="1:13" x14ac:dyDescent="0.2">
      <c r="A67" t="s">
        <v>80</v>
      </c>
      <c r="B67">
        <v>22</v>
      </c>
      <c r="C67" t="s">
        <v>17</v>
      </c>
      <c r="D67">
        <v>6.1</v>
      </c>
      <c r="E67">
        <v>2.4</v>
      </c>
      <c r="F67">
        <v>3.9</v>
      </c>
      <c r="G67">
        <v>1.2</v>
      </c>
      <c r="H67">
        <v>7</v>
      </c>
      <c r="I67">
        <v>73</v>
      </c>
      <c r="J67">
        <v>2.5</v>
      </c>
      <c r="K67">
        <v>7.16</v>
      </c>
      <c r="L67">
        <v>7.36</v>
      </c>
      <c r="M67">
        <f t="shared" si="1"/>
        <v>6.4</v>
      </c>
    </row>
    <row r="68" spans="1:13" x14ac:dyDescent="0.2">
      <c r="A68" t="s">
        <v>81</v>
      </c>
      <c r="B68">
        <v>17</v>
      </c>
      <c r="C68" t="s">
        <v>13</v>
      </c>
      <c r="D68">
        <v>9.3000000000000007</v>
      </c>
      <c r="E68">
        <v>3.7</v>
      </c>
      <c r="F68">
        <v>0.7</v>
      </c>
      <c r="G68">
        <v>1.9</v>
      </c>
      <c r="H68">
        <v>5</v>
      </c>
      <c r="I68">
        <v>58</v>
      </c>
      <c r="J68">
        <v>1.9</v>
      </c>
      <c r="K68">
        <v>5.64</v>
      </c>
      <c r="L68">
        <v>5.84</v>
      </c>
      <c r="M68">
        <f t="shared" si="1"/>
        <v>2.5999999999999996</v>
      </c>
    </row>
    <row r="69" spans="1:13" x14ac:dyDescent="0.2">
      <c r="A69" t="s">
        <v>82</v>
      </c>
      <c r="B69">
        <v>18</v>
      </c>
      <c r="C69" t="s">
        <v>17</v>
      </c>
      <c r="D69">
        <v>8</v>
      </c>
      <c r="E69">
        <v>3.2</v>
      </c>
      <c r="F69">
        <v>2</v>
      </c>
      <c r="G69">
        <v>1.6</v>
      </c>
      <c r="H69">
        <v>5.0999999999999996</v>
      </c>
      <c r="I69">
        <v>57</v>
      </c>
      <c r="J69">
        <v>1.9</v>
      </c>
      <c r="K69">
        <v>5.51</v>
      </c>
      <c r="L69">
        <v>5.71</v>
      </c>
      <c r="M69">
        <f t="shared" si="1"/>
        <v>3.9</v>
      </c>
    </row>
    <row r="70" spans="1:13" x14ac:dyDescent="0.2">
      <c r="A70" t="s">
        <v>83</v>
      </c>
      <c r="B70">
        <v>19</v>
      </c>
      <c r="C70" t="s">
        <v>13</v>
      </c>
      <c r="D70">
        <v>9.1999999999999993</v>
      </c>
      <c r="E70">
        <v>3.7</v>
      </c>
      <c r="F70">
        <v>0.8</v>
      </c>
      <c r="G70">
        <v>1.8</v>
      </c>
      <c r="H70">
        <v>6.2</v>
      </c>
      <c r="I70">
        <v>63</v>
      </c>
      <c r="J70">
        <v>2.1</v>
      </c>
      <c r="K70">
        <v>6.13</v>
      </c>
      <c r="L70">
        <v>6.33</v>
      </c>
      <c r="M70">
        <f t="shared" si="1"/>
        <v>2.9000000000000004</v>
      </c>
    </row>
    <row r="71" spans="1:13" x14ac:dyDescent="0.2">
      <c r="A71" t="s">
        <v>84</v>
      </c>
      <c r="B71">
        <v>17</v>
      </c>
      <c r="C71" t="s">
        <v>17</v>
      </c>
      <c r="D71">
        <v>4.8</v>
      </c>
      <c r="E71">
        <v>1.9</v>
      </c>
      <c r="F71">
        <v>5.2</v>
      </c>
      <c r="G71">
        <v>1</v>
      </c>
      <c r="H71">
        <v>8.1999999999999993</v>
      </c>
      <c r="I71">
        <v>94</v>
      </c>
      <c r="J71">
        <v>3.1</v>
      </c>
      <c r="K71">
        <v>9.2200000000000006</v>
      </c>
      <c r="L71">
        <v>9.42</v>
      </c>
      <c r="M71">
        <f t="shared" si="1"/>
        <v>8.3000000000000007</v>
      </c>
    </row>
    <row r="72" spans="1:13" x14ac:dyDescent="0.2">
      <c r="A72" t="s">
        <v>85</v>
      </c>
      <c r="B72">
        <v>19</v>
      </c>
      <c r="C72" t="s">
        <v>13</v>
      </c>
      <c r="D72">
        <v>7.9</v>
      </c>
      <c r="E72">
        <v>3.2</v>
      </c>
      <c r="F72">
        <v>2.1</v>
      </c>
      <c r="G72">
        <v>1.6</v>
      </c>
      <c r="H72">
        <v>6.4</v>
      </c>
      <c r="I72">
        <v>70</v>
      </c>
      <c r="J72">
        <v>2.4</v>
      </c>
      <c r="K72">
        <v>6.85</v>
      </c>
      <c r="L72">
        <v>7.05</v>
      </c>
      <c r="M72">
        <f t="shared" si="1"/>
        <v>4.5</v>
      </c>
    </row>
    <row r="73" spans="1:13" x14ac:dyDescent="0.2">
      <c r="A73" t="s">
        <v>86</v>
      </c>
      <c r="B73">
        <v>18</v>
      </c>
      <c r="C73" t="s">
        <v>17</v>
      </c>
      <c r="D73">
        <v>8.1</v>
      </c>
      <c r="E73">
        <v>3.2</v>
      </c>
      <c r="F73">
        <v>1.9</v>
      </c>
      <c r="G73">
        <v>1.6</v>
      </c>
      <c r="H73">
        <v>5.5</v>
      </c>
      <c r="I73">
        <v>55</v>
      </c>
      <c r="J73">
        <v>1.9</v>
      </c>
      <c r="K73">
        <v>5.39</v>
      </c>
      <c r="L73">
        <v>5.59</v>
      </c>
      <c r="M73">
        <f t="shared" si="1"/>
        <v>3.8</v>
      </c>
    </row>
    <row r="74" spans="1:13" x14ac:dyDescent="0.2">
      <c r="A74" t="s">
        <v>87</v>
      </c>
      <c r="B74">
        <v>20</v>
      </c>
      <c r="C74" t="s">
        <v>17</v>
      </c>
      <c r="D74">
        <v>5.7</v>
      </c>
      <c r="E74">
        <v>2.2999999999999998</v>
      </c>
      <c r="F74">
        <v>4.3</v>
      </c>
      <c r="G74">
        <v>1.1000000000000001</v>
      </c>
      <c r="H74">
        <v>8</v>
      </c>
      <c r="I74">
        <v>80</v>
      </c>
      <c r="J74">
        <v>2.7</v>
      </c>
      <c r="K74">
        <v>7.8399999999999901</v>
      </c>
      <c r="L74">
        <v>8.0399999999999991</v>
      </c>
      <c r="M74">
        <f t="shared" si="1"/>
        <v>7</v>
      </c>
    </row>
    <row r="75" spans="1:13" x14ac:dyDescent="0.2">
      <c r="A75" t="s">
        <v>88</v>
      </c>
      <c r="B75">
        <v>24</v>
      </c>
      <c r="C75" t="s">
        <v>13</v>
      </c>
      <c r="D75">
        <v>8.8000000000000007</v>
      </c>
      <c r="E75">
        <v>3.5</v>
      </c>
      <c r="F75">
        <v>1.2</v>
      </c>
      <c r="G75">
        <v>1.8</v>
      </c>
      <c r="H75">
        <v>5.3</v>
      </c>
      <c r="I75">
        <v>58</v>
      </c>
      <c r="J75">
        <v>2</v>
      </c>
      <c r="K75">
        <v>5.67</v>
      </c>
      <c r="L75">
        <v>5.87</v>
      </c>
      <c r="M75">
        <f t="shared" si="1"/>
        <v>3.2</v>
      </c>
    </row>
    <row r="76" spans="1:13" x14ac:dyDescent="0.2">
      <c r="A76" t="s">
        <v>89</v>
      </c>
      <c r="B76">
        <v>23</v>
      </c>
      <c r="C76" t="s">
        <v>13</v>
      </c>
      <c r="D76">
        <v>7.5</v>
      </c>
      <c r="E76">
        <v>3</v>
      </c>
      <c r="F76">
        <v>2.5</v>
      </c>
      <c r="G76">
        <v>1.5</v>
      </c>
      <c r="H76">
        <v>6.2</v>
      </c>
      <c r="I76">
        <v>76</v>
      </c>
      <c r="J76">
        <v>2.6</v>
      </c>
      <c r="K76">
        <v>7.4799999999999898</v>
      </c>
      <c r="L76">
        <v>7.68</v>
      </c>
      <c r="M76">
        <f t="shared" si="1"/>
        <v>5.0999999999999996</v>
      </c>
    </row>
    <row r="77" spans="1:13" x14ac:dyDescent="0.2">
      <c r="A77" t="s">
        <v>90</v>
      </c>
      <c r="B77">
        <v>23</v>
      </c>
      <c r="C77" t="s">
        <v>17</v>
      </c>
      <c r="D77">
        <v>6</v>
      </c>
      <c r="E77">
        <v>2.4</v>
      </c>
      <c r="F77">
        <v>4</v>
      </c>
      <c r="G77">
        <v>1.2</v>
      </c>
      <c r="H77">
        <v>7.3</v>
      </c>
      <c r="I77">
        <v>79</v>
      </c>
      <c r="J77">
        <v>2.6</v>
      </c>
      <c r="K77">
        <v>7.72</v>
      </c>
      <c r="L77">
        <v>7.92</v>
      </c>
      <c r="M77">
        <f t="shared" si="1"/>
        <v>6.6</v>
      </c>
    </row>
    <row r="78" spans="1:13" x14ac:dyDescent="0.2">
      <c r="A78" t="s">
        <v>91</v>
      </c>
      <c r="B78">
        <v>20</v>
      </c>
      <c r="C78" t="s">
        <v>13</v>
      </c>
      <c r="D78">
        <v>8.4</v>
      </c>
      <c r="E78">
        <v>3.4</v>
      </c>
      <c r="F78">
        <v>1.6</v>
      </c>
      <c r="G78">
        <v>1.7</v>
      </c>
      <c r="H78">
        <v>5.6</v>
      </c>
      <c r="I78">
        <v>58</v>
      </c>
      <c r="J78">
        <v>1.9</v>
      </c>
      <c r="K78">
        <v>5.6099999999999897</v>
      </c>
      <c r="L78">
        <v>5.81</v>
      </c>
      <c r="M78">
        <f t="shared" si="1"/>
        <v>3.5</v>
      </c>
    </row>
    <row r="79" spans="1:13" x14ac:dyDescent="0.2">
      <c r="A79" t="s">
        <v>92</v>
      </c>
      <c r="B79">
        <v>25</v>
      </c>
      <c r="C79" t="s">
        <v>17</v>
      </c>
      <c r="D79">
        <v>6.3</v>
      </c>
      <c r="E79">
        <v>2.5</v>
      </c>
      <c r="F79">
        <v>3.7</v>
      </c>
      <c r="G79">
        <v>1.3</v>
      </c>
      <c r="H79">
        <v>6.1</v>
      </c>
      <c r="I79">
        <v>71</v>
      </c>
      <c r="J79">
        <v>2.4</v>
      </c>
      <c r="K79">
        <v>6.96</v>
      </c>
      <c r="L79">
        <v>7.16</v>
      </c>
      <c r="M79">
        <f t="shared" si="1"/>
        <v>6.1</v>
      </c>
    </row>
    <row r="80" spans="1:13" x14ac:dyDescent="0.2">
      <c r="A80" t="s">
        <v>93</v>
      </c>
      <c r="B80">
        <v>19</v>
      </c>
      <c r="C80" t="s">
        <v>13</v>
      </c>
      <c r="D80">
        <v>4.5</v>
      </c>
      <c r="E80">
        <v>1.8</v>
      </c>
      <c r="F80">
        <v>5.5</v>
      </c>
      <c r="G80">
        <v>0.9</v>
      </c>
      <c r="H80">
        <v>8.4</v>
      </c>
      <c r="I80">
        <v>84</v>
      </c>
      <c r="J80">
        <v>2.8</v>
      </c>
      <c r="K80">
        <v>8.24</v>
      </c>
      <c r="L80">
        <v>8.44</v>
      </c>
      <c r="M80">
        <f t="shared" si="1"/>
        <v>8.3000000000000007</v>
      </c>
    </row>
    <row r="81" spans="1:13" x14ac:dyDescent="0.2">
      <c r="A81" t="s">
        <v>94</v>
      </c>
      <c r="B81">
        <v>20</v>
      </c>
      <c r="C81" t="s">
        <v>17</v>
      </c>
      <c r="D81">
        <v>7.8</v>
      </c>
      <c r="E81">
        <v>3.1</v>
      </c>
      <c r="F81">
        <v>2.2000000000000002</v>
      </c>
      <c r="G81">
        <v>1.6</v>
      </c>
      <c r="H81">
        <v>6.4</v>
      </c>
      <c r="I81">
        <v>73</v>
      </c>
      <c r="J81">
        <v>2.4</v>
      </c>
      <c r="K81">
        <v>7.14</v>
      </c>
      <c r="L81">
        <v>7.34</v>
      </c>
      <c r="M81">
        <f t="shared" si="1"/>
        <v>4.5999999999999996</v>
      </c>
    </row>
    <row r="82" spans="1:13" x14ac:dyDescent="0.2">
      <c r="A82" t="s">
        <v>95</v>
      </c>
      <c r="B82">
        <v>21</v>
      </c>
      <c r="C82" t="s">
        <v>13</v>
      </c>
      <c r="D82">
        <v>5.3</v>
      </c>
      <c r="E82">
        <v>2.1</v>
      </c>
      <c r="F82">
        <v>4.7</v>
      </c>
      <c r="G82">
        <v>1.1000000000000001</v>
      </c>
      <c r="H82">
        <v>8.1999999999999993</v>
      </c>
      <c r="I82">
        <v>96</v>
      </c>
      <c r="J82">
        <v>3.2</v>
      </c>
      <c r="K82">
        <v>9.49</v>
      </c>
      <c r="L82">
        <v>9.69</v>
      </c>
      <c r="M82">
        <f t="shared" si="1"/>
        <v>7.9</v>
      </c>
    </row>
    <row r="83" spans="1:13" x14ac:dyDescent="0.2">
      <c r="A83" t="s">
        <v>96</v>
      </c>
      <c r="B83">
        <v>23</v>
      </c>
      <c r="C83" t="s">
        <v>17</v>
      </c>
      <c r="D83">
        <v>9.8000000000000007</v>
      </c>
      <c r="E83">
        <v>3.9</v>
      </c>
      <c r="F83">
        <v>0.2</v>
      </c>
      <c r="G83">
        <v>2</v>
      </c>
      <c r="H83">
        <v>5.0999999999999996</v>
      </c>
      <c r="I83">
        <v>67</v>
      </c>
      <c r="J83">
        <v>2.2999999999999998</v>
      </c>
      <c r="K83">
        <v>6.59</v>
      </c>
      <c r="L83">
        <v>6.79</v>
      </c>
      <c r="M83">
        <f t="shared" si="1"/>
        <v>2.5</v>
      </c>
    </row>
    <row r="84" spans="1:13" x14ac:dyDescent="0.2">
      <c r="A84" t="s">
        <v>97</v>
      </c>
      <c r="B84">
        <v>17</v>
      </c>
      <c r="C84" t="s">
        <v>17</v>
      </c>
      <c r="D84">
        <v>6.1</v>
      </c>
      <c r="E84">
        <v>2.4</v>
      </c>
      <c r="F84">
        <v>3.9</v>
      </c>
      <c r="G84">
        <v>1.2</v>
      </c>
      <c r="H84">
        <v>6.2</v>
      </c>
      <c r="I84">
        <v>69</v>
      </c>
      <c r="J84">
        <v>2.2999999999999998</v>
      </c>
      <c r="K84">
        <v>6.74</v>
      </c>
      <c r="L84">
        <v>6.94</v>
      </c>
      <c r="M84">
        <f t="shared" si="1"/>
        <v>6.1999999999999993</v>
      </c>
    </row>
    <row r="85" spans="1:13" x14ac:dyDescent="0.2">
      <c r="A85" t="s">
        <v>98</v>
      </c>
      <c r="B85">
        <v>18</v>
      </c>
      <c r="C85" t="s">
        <v>17</v>
      </c>
      <c r="D85">
        <v>9</v>
      </c>
      <c r="E85">
        <v>3.6</v>
      </c>
      <c r="F85">
        <v>1</v>
      </c>
      <c r="G85">
        <v>1.8</v>
      </c>
      <c r="H85">
        <v>5.3</v>
      </c>
      <c r="I85">
        <v>60</v>
      </c>
      <c r="J85">
        <v>2</v>
      </c>
      <c r="K85">
        <v>5.85</v>
      </c>
      <c r="L85">
        <v>6.05</v>
      </c>
      <c r="M85">
        <f t="shared" si="1"/>
        <v>3</v>
      </c>
    </row>
    <row r="86" spans="1:13" x14ac:dyDescent="0.2">
      <c r="A86" t="s">
        <v>99</v>
      </c>
      <c r="B86">
        <v>24</v>
      </c>
      <c r="C86" t="s">
        <v>13</v>
      </c>
      <c r="D86">
        <v>8.1999999999999993</v>
      </c>
      <c r="E86">
        <v>3.3</v>
      </c>
      <c r="F86">
        <v>1.8</v>
      </c>
      <c r="G86">
        <v>1.6</v>
      </c>
      <c r="H86">
        <v>5.0999999999999996</v>
      </c>
      <c r="I86">
        <v>56</v>
      </c>
      <c r="J86">
        <v>1.9</v>
      </c>
      <c r="K86">
        <v>5.41</v>
      </c>
      <c r="L86">
        <v>5.61</v>
      </c>
      <c r="M86">
        <f t="shared" si="1"/>
        <v>3.7</v>
      </c>
    </row>
    <row r="87" spans="1:13" x14ac:dyDescent="0.2">
      <c r="A87" t="s">
        <v>100</v>
      </c>
      <c r="B87">
        <v>25</v>
      </c>
      <c r="C87" t="s">
        <v>17</v>
      </c>
      <c r="D87">
        <v>9.1999999999999993</v>
      </c>
      <c r="E87">
        <v>3.7</v>
      </c>
      <c r="F87">
        <v>0.8</v>
      </c>
      <c r="G87">
        <v>1.8</v>
      </c>
      <c r="H87">
        <v>5.4</v>
      </c>
      <c r="I87">
        <v>66</v>
      </c>
      <c r="J87">
        <v>2.2000000000000002</v>
      </c>
      <c r="K87">
        <v>6.4399999999999897</v>
      </c>
      <c r="L87">
        <v>6.64</v>
      </c>
      <c r="M87">
        <f t="shared" si="1"/>
        <v>3</v>
      </c>
    </row>
    <row r="88" spans="1:13" x14ac:dyDescent="0.2">
      <c r="A88" t="s">
        <v>101</v>
      </c>
      <c r="B88">
        <v>23</v>
      </c>
      <c r="C88" t="s">
        <v>17</v>
      </c>
      <c r="D88">
        <v>8.5</v>
      </c>
      <c r="E88">
        <v>3.4</v>
      </c>
      <c r="F88">
        <v>1.5</v>
      </c>
      <c r="G88">
        <v>1.7</v>
      </c>
      <c r="H88">
        <v>5.0999999999999996</v>
      </c>
      <c r="I88">
        <v>59</v>
      </c>
      <c r="J88">
        <v>2</v>
      </c>
      <c r="K88">
        <v>5.79</v>
      </c>
      <c r="L88">
        <v>5.99</v>
      </c>
      <c r="M88">
        <f t="shared" si="1"/>
        <v>3.5</v>
      </c>
    </row>
    <row r="89" spans="1:13" x14ac:dyDescent="0.2">
      <c r="A89" t="s">
        <v>102</v>
      </c>
      <c r="B89">
        <v>20</v>
      </c>
      <c r="C89" t="s">
        <v>13</v>
      </c>
      <c r="D89">
        <v>5.5</v>
      </c>
      <c r="E89">
        <v>2.2000000000000002</v>
      </c>
      <c r="F89">
        <v>4.5</v>
      </c>
      <c r="G89">
        <v>1.1000000000000001</v>
      </c>
      <c r="H89">
        <v>7.7</v>
      </c>
      <c r="I89">
        <v>84</v>
      </c>
      <c r="J89">
        <v>2.8</v>
      </c>
      <c r="K89">
        <v>8.26</v>
      </c>
      <c r="L89">
        <v>8.4600000000000009</v>
      </c>
      <c r="M89">
        <f t="shared" si="1"/>
        <v>7.3</v>
      </c>
    </row>
    <row r="90" spans="1:13" x14ac:dyDescent="0.2">
      <c r="A90" t="s">
        <v>103</v>
      </c>
      <c r="B90">
        <v>25</v>
      </c>
      <c r="C90" t="s">
        <v>17</v>
      </c>
      <c r="D90">
        <v>8.6</v>
      </c>
      <c r="E90">
        <v>3.4</v>
      </c>
      <c r="F90">
        <v>1.4</v>
      </c>
      <c r="G90">
        <v>1.7</v>
      </c>
      <c r="H90">
        <v>6.1</v>
      </c>
      <c r="I90">
        <v>65</v>
      </c>
      <c r="J90">
        <v>2.2000000000000002</v>
      </c>
      <c r="K90">
        <v>6.37</v>
      </c>
      <c r="L90">
        <v>6.57</v>
      </c>
      <c r="M90">
        <f t="shared" si="1"/>
        <v>3.6</v>
      </c>
    </row>
    <row r="91" spans="1:13" x14ac:dyDescent="0.2">
      <c r="A91" t="s">
        <v>104</v>
      </c>
      <c r="B91">
        <v>22</v>
      </c>
      <c r="C91" t="s">
        <v>13</v>
      </c>
      <c r="D91">
        <v>6.9</v>
      </c>
      <c r="E91">
        <v>2.8</v>
      </c>
      <c r="F91">
        <v>3.1</v>
      </c>
      <c r="G91">
        <v>1.4</v>
      </c>
      <c r="H91">
        <v>6.8</v>
      </c>
      <c r="I91">
        <v>69</v>
      </c>
      <c r="J91">
        <v>2.2999999999999998</v>
      </c>
      <c r="K91">
        <v>6.7</v>
      </c>
      <c r="L91">
        <v>6.9</v>
      </c>
      <c r="M91">
        <f t="shared" si="1"/>
        <v>5.4</v>
      </c>
    </row>
    <row r="92" spans="1:13" x14ac:dyDescent="0.2">
      <c r="A92" t="s">
        <v>105</v>
      </c>
      <c r="B92">
        <v>22</v>
      </c>
      <c r="C92" t="s">
        <v>17</v>
      </c>
      <c r="D92">
        <v>4.0999999999999996</v>
      </c>
      <c r="E92">
        <v>1.6</v>
      </c>
      <c r="F92">
        <v>5.9</v>
      </c>
      <c r="G92">
        <v>0.8</v>
      </c>
      <c r="H92">
        <v>7.1</v>
      </c>
      <c r="I92">
        <v>97</v>
      </c>
      <c r="J92">
        <v>3.2</v>
      </c>
      <c r="K92">
        <v>9.5399999999999991</v>
      </c>
      <c r="L92">
        <v>9.74</v>
      </c>
      <c r="M92">
        <f t="shared" si="1"/>
        <v>9.1000000000000014</v>
      </c>
    </row>
    <row r="93" spans="1:13" x14ac:dyDescent="0.2">
      <c r="A93" t="s">
        <v>106</v>
      </c>
      <c r="B93">
        <v>25</v>
      </c>
      <c r="C93" t="s">
        <v>13</v>
      </c>
      <c r="D93">
        <v>10</v>
      </c>
      <c r="E93">
        <v>4</v>
      </c>
      <c r="F93">
        <v>0</v>
      </c>
      <c r="G93">
        <v>2</v>
      </c>
      <c r="H93">
        <v>5.8</v>
      </c>
      <c r="I93">
        <v>56</v>
      </c>
      <c r="J93">
        <v>1.9</v>
      </c>
      <c r="K93">
        <v>5.3999999999999897</v>
      </c>
      <c r="L93">
        <v>5.6</v>
      </c>
      <c r="M93">
        <f t="shared" si="1"/>
        <v>1.9</v>
      </c>
    </row>
    <row r="94" spans="1:13" x14ac:dyDescent="0.2">
      <c r="A94" t="s">
        <v>107</v>
      </c>
      <c r="B94">
        <v>21</v>
      </c>
      <c r="C94" t="s">
        <v>13</v>
      </c>
      <c r="D94">
        <v>5</v>
      </c>
      <c r="E94">
        <v>2</v>
      </c>
      <c r="F94">
        <v>5</v>
      </c>
      <c r="G94">
        <v>1</v>
      </c>
      <c r="H94">
        <v>7.4</v>
      </c>
      <c r="I94">
        <v>82</v>
      </c>
      <c r="J94">
        <v>2.7</v>
      </c>
      <c r="K94">
        <v>8.0299999999999994</v>
      </c>
      <c r="L94">
        <v>8.23</v>
      </c>
      <c r="M94">
        <f t="shared" si="1"/>
        <v>7.7</v>
      </c>
    </row>
    <row r="95" spans="1:13" x14ac:dyDescent="0.2">
      <c r="A95" t="s">
        <v>108</v>
      </c>
      <c r="B95">
        <v>24</v>
      </c>
      <c r="C95" t="s">
        <v>13</v>
      </c>
      <c r="D95">
        <v>7.5</v>
      </c>
      <c r="E95">
        <v>3</v>
      </c>
      <c r="F95">
        <v>2.5</v>
      </c>
      <c r="G95">
        <v>1.5</v>
      </c>
      <c r="H95">
        <v>6.1</v>
      </c>
      <c r="I95">
        <v>78</v>
      </c>
      <c r="J95">
        <v>2.6</v>
      </c>
      <c r="K95">
        <v>7.68</v>
      </c>
      <c r="L95">
        <v>7.88</v>
      </c>
      <c r="M95">
        <f t="shared" si="1"/>
        <v>5.0999999999999996</v>
      </c>
    </row>
    <row r="96" spans="1:13" x14ac:dyDescent="0.2">
      <c r="A96" t="s">
        <v>109</v>
      </c>
      <c r="B96">
        <v>24</v>
      </c>
      <c r="C96" t="s">
        <v>13</v>
      </c>
      <c r="D96">
        <v>6.7</v>
      </c>
      <c r="E96">
        <v>2.7</v>
      </c>
      <c r="F96">
        <v>3.3</v>
      </c>
      <c r="G96">
        <v>1.3</v>
      </c>
      <c r="H96">
        <v>6.4</v>
      </c>
      <c r="I96">
        <v>75</v>
      </c>
      <c r="J96">
        <v>2.5</v>
      </c>
      <c r="K96">
        <v>7.34</v>
      </c>
      <c r="L96">
        <v>7.54</v>
      </c>
      <c r="M96">
        <f t="shared" si="1"/>
        <v>5.8</v>
      </c>
    </row>
    <row r="97" spans="1:13" x14ac:dyDescent="0.2">
      <c r="A97" t="s">
        <v>110</v>
      </c>
      <c r="B97">
        <v>22</v>
      </c>
      <c r="C97" t="s">
        <v>17</v>
      </c>
      <c r="D97">
        <v>5.4</v>
      </c>
      <c r="E97">
        <v>2.2000000000000002</v>
      </c>
      <c r="F97">
        <v>4.5999999999999996</v>
      </c>
      <c r="G97">
        <v>1.1000000000000001</v>
      </c>
      <c r="H97">
        <v>7.5</v>
      </c>
      <c r="I97">
        <v>83</v>
      </c>
      <c r="J97">
        <v>2.8</v>
      </c>
      <c r="K97">
        <v>8.1300000000000008</v>
      </c>
      <c r="L97">
        <v>8.33</v>
      </c>
      <c r="M97">
        <f t="shared" si="1"/>
        <v>7.3999999999999995</v>
      </c>
    </row>
    <row r="98" spans="1:13" x14ac:dyDescent="0.2">
      <c r="A98" t="s">
        <v>111</v>
      </c>
      <c r="B98">
        <v>22</v>
      </c>
      <c r="C98" t="s">
        <v>13</v>
      </c>
      <c r="D98">
        <v>7.2</v>
      </c>
      <c r="E98">
        <v>2.9</v>
      </c>
      <c r="F98">
        <v>2.8</v>
      </c>
      <c r="G98">
        <v>1.4</v>
      </c>
      <c r="H98">
        <v>7.2</v>
      </c>
      <c r="I98">
        <v>71</v>
      </c>
      <c r="J98">
        <v>2.4</v>
      </c>
      <c r="K98">
        <v>6.97</v>
      </c>
      <c r="L98">
        <v>7.17</v>
      </c>
      <c r="M98">
        <f t="shared" si="1"/>
        <v>5.1999999999999993</v>
      </c>
    </row>
    <row r="99" spans="1:13" x14ac:dyDescent="0.2">
      <c r="A99" t="s">
        <v>112</v>
      </c>
      <c r="B99">
        <v>24</v>
      </c>
      <c r="C99" t="s">
        <v>13</v>
      </c>
      <c r="D99">
        <v>6.5</v>
      </c>
      <c r="E99">
        <v>2.6</v>
      </c>
      <c r="F99">
        <v>3.5</v>
      </c>
      <c r="G99">
        <v>1.3</v>
      </c>
      <c r="H99">
        <v>7.4</v>
      </c>
      <c r="I99">
        <v>75</v>
      </c>
      <c r="J99">
        <v>2.5</v>
      </c>
      <c r="K99">
        <v>7.3</v>
      </c>
      <c r="L99">
        <v>7.5</v>
      </c>
      <c r="M99">
        <f t="shared" si="1"/>
        <v>6</v>
      </c>
    </row>
    <row r="100" spans="1:13" x14ac:dyDescent="0.2">
      <c r="A100" t="s">
        <v>113</v>
      </c>
      <c r="B100">
        <v>22</v>
      </c>
      <c r="C100" t="s">
        <v>17</v>
      </c>
      <c r="D100">
        <v>9.1999999999999993</v>
      </c>
      <c r="E100">
        <v>3.7</v>
      </c>
      <c r="F100">
        <v>0.8</v>
      </c>
      <c r="G100">
        <v>1.8</v>
      </c>
      <c r="H100">
        <v>5</v>
      </c>
      <c r="I100">
        <v>55</v>
      </c>
      <c r="J100">
        <v>1.9</v>
      </c>
      <c r="K100">
        <v>5.3599999999999897</v>
      </c>
      <c r="L100">
        <v>5.56</v>
      </c>
      <c r="M100">
        <f t="shared" si="1"/>
        <v>2.7</v>
      </c>
    </row>
    <row r="101" spans="1:13" x14ac:dyDescent="0.2">
      <c r="A101" t="s">
        <v>114</v>
      </c>
      <c r="B101">
        <v>25</v>
      </c>
      <c r="C101" t="s">
        <v>13</v>
      </c>
      <c r="D101">
        <v>6.9</v>
      </c>
      <c r="E101">
        <v>2.8</v>
      </c>
      <c r="F101">
        <v>3.1</v>
      </c>
      <c r="G101">
        <v>1.4</v>
      </c>
      <c r="H101">
        <v>6.6</v>
      </c>
      <c r="I101">
        <v>79</v>
      </c>
      <c r="J101">
        <v>2.7</v>
      </c>
      <c r="K101">
        <v>7.78</v>
      </c>
      <c r="L101">
        <v>7.98</v>
      </c>
      <c r="M101">
        <f t="shared" si="1"/>
        <v>5.8000000000000007</v>
      </c>
    </row>
    <row r="102" spans="1:13" x14ac:dyDescent="0.2">
      <c r="A102" t="s">
        <v>115</v>
      </c>
      <c r="B102">
        <v>19</v>
      </c>
      <c r="C102" t="s">
        <v>17</v>
      </c>
      <c r="D102">
        <v>9</v>
      </c>
      <c r="E102">
        <v>3.6</v>
      </c>
      <c r="F102">
        <v>1</v>
      </c>
      <c r="G102">
        <v>1.8</v>
      </c>
      <c r="H102">
        <v>5.0999999999999996</v>
      </c>
      <c r="I102">
        <v>62</v>
      </c>
      <c r="J102">
        <v>2.1</v>
      </c>
      <c r="K102">
        <v>6.04</v>
      </c>
      <c r="L102">
        <v>6.24</v>
      </c>
      <c r="M102">
        <f t="shared" si="1"/>
        <v>3.1</v>
      </c>
    </row>
    <row r="103" spans="1:13" x14ac:dyDescent="0.2">
      <c r="A103" t="s">
        <v>116</v>
      </c>
      <c r="B103">
        <v>21</v>
      </c>
      <c r="C103" t="s">
        <v>17</v>
      </c>
      <c r="D103">
        <v>5.6</v>
      </c>
      <c r="E103">
        <v>2.2000000000000002</v>
      </c>
      <c r="F103">
        <v>4.4000000000000004</v>
      </c>
      <c r="G103">
        <v>1.1000000000000001</v>
      </c>
      <c r="H103">
        <v>8.3000000000000007</v>
      </c>
      <c r="I103">
        <v>79</v>
      </c>
      <c r="J103">
        <v>2.6</v>
      </c>
      <c r="K103">
        <v>7.71</v>
      </c>
      <c r="L103">
        <v>7.91</v>
      </c>
      <c r="M103">
        <f t="shared" si="1"/>
        <v>7</v>
      </c>
    </row>
    <row r="104" spans="1:13" x14ac:dyDescent="0.2">
      <c r="A104" t="s">
        <v>117</v>
      </c>
      <c r="B104">
        <v>21</v>
      </c>
      <c r="C104" t="s">
        <v>13</v>
      </c>
      <c r="D104">
        <v>8.5</v>
      </c>
      <c r="E104">
        <v>3.4</v>
      </c>
      <c r="F104">
        <v>1.5</v>
      </c>
      <c r="G104">
        <v>1.7</v>
      </c>
      <c r="H104">
        <v>5.9</v>
      </c>
      <c r="I104">
        <v>66</v>
      </c>
      <c r="J104">
        <v>2.2000000000000002</v>
      </c>
      <c r="K104">
        <v>6.49</v>
      </c>
      <c r="L104">
        <v>6.69</v>
      </c>
      <c r="M104">
        <f t="shared" si="1"/>
        <v>3.7</v>
      </c>
    </row>
    <row r="105" spans="1:13" x14ac:dyDescent="0.2">
      <c r="A105" t="s">
        <v>118</v>
      </c>
      <c r="B105">
        <v>19</v>
      </c>
      <c r="C105" t="s">
        <v>17</v>
      </c>
      <c r="D105">
        <v>9.1</v>
      </c>
      <c r="E105">
        <v>3.6</v>
      </c>
      <c r="F105">
        <v>0.9</v>
      </c>
      <c r="G105">
        <v>1.8</v>
      </c>
      <c r="H105">
        <v>5.7</v>
      </c>
      <c r="I105">
        <v>58</v>
      </c>
      <c r="J105">
        <v>1.9</v>
      </c>
      <c r="K105">
        <v>5.62</v>
      </c>
      <c r="L105">
        <v>5.82</v>
      </c>
      <c r="M105">
        <f t="shared" si="1"/>
        <v>2.8</v>
      </c>
    </row>
    <row r="106" spans="1:13" x14ac:dyDescent="0.2">
      <c r="A106" t="s">
        <v>119</v>
      </c>
      <c r="B106">
        <v>24</v>
      </c>
      <c r="C106" t="s">
        <v>17</v>
      </c>
      <c r="D106">
        <v>7.6</v>
      </c>
      <c r="E106">
        <v>3</v>
      </c>
      <c r="F106">
        <v>2.4</v>
      </c>
      <c r="G106">
        <v>1.5</v>
      </c>
      <c r="H106">
        <v>7</v>
      </c>
      <c r="I106">
        <v>70</v>
      </c>
      <c r="J106">
        <v>2.4</v>
      </c>
      <c r="K106">
        <v>6.87</v>
      </c>
      <c r="L106">
        <v>7.07</v>
      </c>
      <c r="M106">
        <f t="shared" si="1"/>
        <v>4.8</v>
      </c>
    </row>
    <row r="107" spans="1:13" x14ac:dyDescent="0.2">
      <c r="A107" t="s">
        <v>120</v>
      </c>
      <c r="B107">
        <v>17</v>
      </c>
      <c r="C107" t="s">
        <v>13</v>
      </c>
      <c r="D107">
        <v>8</v>
      </c>
      <c r="E107">
        <v>3.2</v>
      </c>
      <c r="F107">
        <v>2</v>
      </c>
      <c r="G107">
        <v>1.6</v>
      </c>
      <c r="H107">
        <v>6.2</v>
      </c>
      <c r="I107">
        <v>61</v>
      </c>
      <c r="J107">
        <v>2.1</v>
      </c>
      <c r="K107">
        <v>5.9799999999999898</v>
      </c>
      <c r="L107">
        <v>6.18</v>
      </c>
      <c r="M107">
        <f t="shared" si="1"/>
        <v>4.0999999999999996</v>
      </c>
    </row>
    <row r="108" spans="1:13" x14ac:dyDescent="0.2">
      <c r="A108" t="s">
        <v>121</v>
      </c>
      <c r="B108">
        <v>23</v>
      </c>
      <c r="C108" t="s">
        <v>17</v>
      </c>
      <c r="D108">
        <v>9.8000000000000007</v>
      </c>
      <c r="E108">
        <v>3.9</v>
      </c>
      <c r="F108">
        <v>0.2</v>
      </c>
      <c r="G108">
        <v>2</v>
      </c>
      <c r="H108">
        <v>6.2</v>
      </c>
      <c r="I108">
        <v>56</v>
      </c>
      <c r="J108">
        <v>1.9</v>
      </c>
      <c r="K108">
        <v>5.41</v>
      </c>
      <c r="L108">
        <v>5.61</v>
      </c>
      <c r="M108">
        <f t="shared" si="1"/>
        <v>2.1</v>
      </c>
    </row>
    <row r="109" spans="1:13" x14ac:dyDescent="0.2">
      <c r="A109" t="s">
        <v>122</v>
      </c>
      <c r="B109">
        <v>22</v>
      </c>
      <c r="C109" t="s">
        <v>13</v>
      </c>
      <c r="D109">
        <v>8.6999999999999993</v>
      </c>
      <c r="E109">
        <v>3.5</v>
      </c>
      <c r="F109">
        <v>1.3</v>
      </c>
      <c r="G109">
        <v>1.7</v>
      </c>
      <c r="H109">
        <v>6.2</v>
      </c>
      <c r="I109">
        <v>63</v>
      </c>
      <c r="J109">
        <v>2.1</v>
      </c>
      <c r="K109">
        <v>6.13</v>
      </c>
      <c r="L109">
        <v>6.33</v>
      </c>
      <c r="M109">
        <f t="shared" si="1"/>
        <v>3.4000000000000004</v>
      </c>
    </row>
    <row r="110" spans="1:13" x14ac:dyDescent="0.2">
      <c r="A110" t="s">
        <v>123</v>
      </c>
      <c r="B110">
        <v>18</v>
      </c>
      <c r="C110" t="s">
        <v>13</v>
      </c>
      <c r="D110">
        <v>4.0999999999999996</v>
      </c>
      <c r="E110">
        <v>1.6</v>
      </c>
      <c r="F110">
        <v>5.9</v>
      </c>
      <c r="G110">
        <v>0.8</v>
      </c>
      <c r="H110">
        <v>7.9</v>
      </c>
      <c r="I110">
        <v>85</v>
      </c>
      <c r="J110">
        <v>2.8</v>
      </c>
      <c r="K110">
        <v>8.3000000000000007</v>
      </c>
      <c r="L110">
        <v>8.5</v>
      </c>
      <c r="M110">
        <f t="shared" si="1"/>
        <v>8.6999999999999993</v>
      </c>
    </row>
    <row r="111" spans="1:13" x14ac:dyDescent="0.2">
      <c r="A111" t="s">
        <v>124</v>
      </c>
      <c r="B111">
        <v>19</v>
      </c>
      <c r="C111" t="s">
        <v>17</v>
      </c>
      <c r="D111">
        <v>7.3</v>
      </c>
      <c r="E111">
        <v>2.9</v>
      </c>
      <c r="F111">
        <v>2.7</v>
      </c>
      <c r="G111">
        <v>1.5</v>
      </c>
      <c r="H111">
        <v>7.4</v>
      </c>
      <c r="I111">
        <v>73</v>
      </c>
      <c r="J111">
        <v>2.4</v>
      </c>
      <c r="K111">
        <v>7.14</v>
      </c>
      <c r="L111">
        <v>7.34</v>
      </c>
      <c r="M111">
        <f t="shared" si="1"/>
        <v>5.0999999999999996</v>
      </c>
    </row>
    <row r="112" spans="1:13" x14ac:dyDescent="0.2">
      <c r="A112" t="s">
        <v>125</v>
      </c>
      <c r="B112">
        <v>17</v>
      </c>
      <c r="C112" t="s">
        <v>13</v>
      </c>
      <c r="D112">
        <v>9.6999999999999993</v>
      </c>
      <c r="E112">
        <v>3.9</v>
      </c>
      <c r="F112">
        <v>0.3</v>
      </c>
      <c r="G112">
        <v>1.9</v>
      </c>
      <c r="H112">
        <v>6.4</v>
      </c>
      <c r="I112">
        <v>56</v>
      </c>
      <c r="J112">
        <v>1.9</v>
      </c>
      <c r="K112">
        <v>5.49</v>
      </c>
      <c r="L112">
        <v>5.69</v>
      </c>
      <c r="M112">
        <f t="shared" si="1"/>
        <v>2.1999999999999997</v>
      </c>
    </row>
    <row r="113" spans="1:13" x14ac:dyDescent="0.2">
      <c r="A113" t="s">
        <v>126</v>
      </c>
      <c r="B113">
        <v>19</v>
      </c>
      <c r="C113" t="s">
        <v>17</v>
      </c>
      <c r="D113">
        <v>4.4000000000000004</v>
      </c>
      <c r="E113">
        <v>1.8</v>
      </c>
      <c r="F113">
        <v>5.6</v>
      </c>
      <c r="G113">
        <v>0.9</v>
      </c>
      <c r="H113">
        <v>7.9</v>
      </c>
      <c r="I113">
        <v>78</v>
      </c>
      <c r="J113">
        <v>2.6</v>
      </c>
      <c r="K113">
        <v>7.6899999999999897</v>
      </c>
      <c r="L113">
        <v>7.89</v>
      </c>
      <c r="M113">
        <f t="shared" si="1"/>
        <v>8.1999999999999993</v>
      </c>
    </row>
    <row r="114" spans="1:13" x14ac:dyDescent="0.2">
      <c r="A114" t="s">
        <v>127</v>
      </c>
      <c r="B114">
        <v>24</v>
      </c>
      <c r="C114" t="s">
        <v>13</v>
      </c>
      <c r="D114">
        <v>4.8</v>
      </c>
      <c r="E114">
        <v>1.9</v>
      </c>
      <c r="F114">
        <v>5.2</v>
      </c>
      <c r="G114">
        <v>1</v>
      </c>
      <c r="H114">
        <v>7.2</v>
      </c>
      <c r="I114">
        <v>80</v>
      </c>
      <c r="J114">
        <v>2.7</v>
      </c>
      <c r="K114">
        <v>7.86</v>
      </c>
      <c r="L114">
        <v>8.06</v>
      </c>
      <c r="M114">
        <f t="shared" si="1"/>
        <v>7.9</v>
      </c>
    </row>
    <row r="115" spans="1:13" x14ac:dyDescent="0.2">
      <c r="A115" t="s">
        <v>128</v>
      </c>
      <c r="B115">
        <v>18</v>
      </c>
      <c r="C115" t="s">
        <v>17</v>
      </c>
      <c r="D115">
        <v>5.0999999999999996</v>
      </c>
      <c r="E115">
        <v>2</v>
      </c>
      <c r="F115">
        <v>4.9000000000000004</v>
      </c>
      <c r="G115">
        <v>1</v>
      </c>
      <c r="H115">
        <v>8.3000000000000007</v>
      </c>
      <c r="I115">
        <v>84</v>
      </c>
      <c r="J115">
        <v>2.8</v>
      </c>
      <c r="K115">
        <v>8.2899999999999991</v>
      </c>
      <c r="L115">
        <v>8.49</v>
      </c>
      <c r="M115">
        <f t="shared" si="1"/>
        <v>7.7</v>
      </c>
    </row>
    <row r="116" spans="1:13" x14ac:dyDescent="0.2">
      <c r="A116" t="s">
        <v>129</v>
      </c>
      <c r="B116">
        <v>22</v>
      </c>
      <c r="C116" t="s">
        <v>17</v>
      </c>
      <c r="D116">
        <v>5.2</v>
      </c>
      <c r="E116">
        <v>2.1</v>
      </c>
      <c r="F116">
        <v>4.8</v>
      </c>
      <c r="G116">
        <v>1</v>
      </c>
      <c r="H116">
        <v>7.3</v>
      </c>
      <c r="I116">
        <v>78</v>
      </c>
      <c r="J116">
        <v>2.6</v>
      </c>
      <c r="K116">
        <v>7.68</v>
      </c>
      <c r="L116">
        <v>7.88</v>
      </c>
      <c r="M116">
        <f t="shared" si="1"/>
        <v>7.4</v>
      </c>
    </row>
    <row r="117" spans="1:13" x14ac:dyDescent="0.2">
      <c r="A117" t="s">
        <v>130</v>
      </c>
      <c r="B117">
        <v>17</v>
      </c>
      <c r="C117" t="s">
        <v>13</v>
      </c>
      <c r="D117">
        <v>7.3</v>
      </c>
      <c r="E117">
        <v>2.9</v>
      </c>
      <c r="F117">
        <v>2.7</v>
      </c>
      <c r="G117">
        <v>1.5</v>
      </c>
      <c r="H117">
        <v>6.5</v>
      </c>
      <c r="I117">
        <v>74</v>
      </c>
      <c r="J117">
        <v>2.5</v>
      </c>
      <c r="K117">
        <v>7.24</v>
      </c>
      <c r="L117">
        <v>7.44</v>
      </c>
      <c r="M117">
        <f t="shared" si="1"/>
        <v>5.2</v>
      </c>
    </row>
    <row r="118" spans="1:13" x14ac:dyDescent="0.2">
      <c r="A118" t="s">
        <v>131</v>
      </c>
      <c r="B118">
        <v>22</v>
      </c>
      <c r="C118" t="s">
        <v>17</v>
      </c>
      <c r="D118">
        <v>6</v>
      </c>
      <c r="E118">
        <v>2.4</v>
      </c>
      <c r="F118">
        <v>4</v>
      </c>
      <c r="G118">
        <v>1.2</v>
      </c>
      <c r="H118">
        <v>6.1</v>
      </c>
      <c r="I118">
        <v>71</v>
      </c>
      <c r="J118">
        <v>2.4</v>
      </c>
      <c r="K118">
        <v>6.99</v>
      </c>
      <c r="L118">
        <v>7.19</v>
      </c>
      <c r="M118">
        <f t="shared" si="1"/>
        <v>6.4</v>
      </c>
    </row>
    <row r="119" spans="1:13" x14ac:dyDescent="0.2">
      <c r="A119" t="s">
        <v>132</v>
      </c>
      <c r="B119">
        <v>20</v>
      </c>
      <c r="C119" t="s">
        <v>17</v>
      </c>
      <c r="D119">
        <v>7.1</v>
      </c>
      <c r="E119">
        <v>2.8</v>
      </c>
      <c r="F119">
        <v>2.9</v>
      </c>
      <c r="G119">
        <v>1.4</v>
      </c>
      <c r="H119">
        <v>6.6</v>
      </c>
      <c r="I119">
        <v>69</v>
      </c>
      <c r="J119">
        <v>2.2999999999999998</v>
      </c>
      <c r="K119">
        <v>6.79</v>
      </c>
      <c r="L119">
        <v>6.99</v>
      </c>
      <c r="M119">
        <f t="shared" si="1"/>
        <v>5.1999999999999993</v>
      </c>
    </row>
    <row r="120" spans="1:13" x14ac:dyDescent="0.2">
      <c r="A120" t="s">
        <v>133</v>
      </c>
      <c r="B120">
        <v>22</v>
      </c>
      <c r="C120" t="s">
        <v>13</v>
      </c>
      <c r="D120">
        <v>4.5</v>
      </c>
      <c r="E120">
        <v>1.8</v>
      </c>
      <c r="F120">
        <v>5.5</v>
      </c>
      <c r="G120">
        <v>0.9</v>
      </c>
      <c r="H120">
        <v>8.5</v>
      </c>
      <c r="I120">
        <v>89</v>
      </c>
      <c r="J120">
        <v>3</v>
      </c>
      <c r="K120">
        <v>8.7899999999999991</v>
      </c>
      <c r="L120">
        <v>8.99</v>
      </c>
      <c r="M120">
        <f t="shared" si="1"/>
        <v>8.5</v>
      </c>
    </row>
    <row r="121" spans="1:13" x14ac:dyDescent="0.2">
      <c r="A121" t="s">
        <v>134</v>
      </c>
      <c r="B121">
        <v>24</v>
      </c>
      <c r="C121" t="s">
        <v>17</v>
      </c>
      <c r="D121">
        <v>7.7</v>
      </c>
      <c r="E121">
        <v>3.1</v>
      </c>
      <c r="F121">
        <v>2.2999999999999998</v>
      </c>
      <c r="G121">
        <v>1.5</v>
      </c>
      <c r="H121">
        <v>6.7</v>
      </c>
      <c r="I121">
        <v>72</v>
      </c>
      <c r="J121">
        <v>2.4</v>
      </c>
      <c r="K121">
        <v>7.04</v>
      </c>
      <c r="L121">
        <v>7.24</v>
      </c>
      <c r="M121">
        <f t="shared" si="1"/>
        <v>4.6999999999999993</v>
      </c>
    </row>
    <row r="122" spans="1:13" x14ac:dyDescent="0.2">
      <c r="A122" t="s">
        <v>135</v>
      </c>
      <c r="B122">
        <v>22</v>
      </c>
      <c r="C122" t="s">
        <v>17</v>
      </c>
      <c r="D122">
        <v>8.3000000000000007</v>
      </c>
      <c r="E122">
        <v>3.3</v>
      </c>
      <c r="F122">
        <v>1.7</v>
      </c>
      <c r="G122">
        <v>1.7</v>
      </c>
      <c r="H122">
        <v>5.8</v>
      </c>
      <c r="I122">
        <v>66</v>
      </c>
      <c r="J122">
        <v>2.2000000000000002</v>
      </c>
      <c r="K122">
        <v>6.46</v>
      </c>
      <c r="L122">
        <v>6.66</v>
      </c>
      <c r="M122">
        <f t="shared" si="1"/>
        <v>3.9000000000000004</v>
      </c>
    </row>
    <row r="123" spans="1:13" x14ac:dyDescent="0.2">
      <c r="A123" t="s">
        <v>136</v>
      </c>
      <c r="B123">
        <v>23</v>
      </c>
      <c r="C123" t="s">
        <v>17</v>
      </c>
      <c r="D123">
        <v>6.4</v>
      </c>
      <c r="E123">
        <v>2.6</v>
      </c>
      <c r="F123">
        <v>3.6</v>
      </c>
      <c r="G123">
        <v>1.3</v>
      </c>
      <c r="H123">
        <v>7.1</v>
      </c>
      <c r="I123">
        <v>69</v>
      </c>
      <c r="J123">
        <v>2.2999999999999998</v>
      </c>
      <c r="K123">
        <v>6.7299999999999898</v>
      </c>
      <c r="L123">
        <v>6.93</v>
      </c>
      <c r="M123">
        <f t="shared" si="1"/>
        <v>5.9</v>
      </c>
    </row>
    <row r="124" spans="1:13" x14ac:dyDescent="0.2">
      <c r="A124" t="s">
        <v>137</v>
      </c>
      <c r="B124">
        <v>17</v>
      </c>
      <c r="C124" t="s">
        <v>17</v>
      </c>
      <c r="D124">
        <v>9</v>
      </c>
      <c r="E124">
        <v>3.6</v>
      </c>
      <c r="F124">
        <v>1</v>
      </c>
      <c r="G124">
        <v>1.8</v>
      </c>
      <c r="H124">
        <v>5.8</v>
      </c>
      <c r="I124">
        <v>56</v>
      </c>
      <c r="J124">
        <v>1.9</v>
      </c>
      <c r="K124">
        <v>5.42</v>
      </c>
      <c r="L124">
        <v>5.62</v>
      </c>
      <c r="M124">
        <f t="shared" si="1"/>
        <v>2.9</v>
      </c>
    </row>
    <row r="125" spans="1:13" x14ac:dyDescent="0.2">
      <c r="A125" t="s">
        <v>138</v>
      </c>
      <c r="B125">
        <v>20</v>
      </c>
      <c r="C125" t="s">
        <v>17</v>
      </c>
      <c r="D125">
        <v>7.6</v>
      </c>
      <c r="E125">
        <v>3</v>
      </c>
      <c r="F125">
        <v>2.4</v>
      </c>
      <c r="G125">
        <v>1.5</v>
      </c>
      <c r="H125">
        <v>7.2</v>
      </c>
      <c r="I125">
        <v>76</v>
      </c>
      <c r="J125">
        <v>2.5</v>
      </c>
      <c r="K125">
        <v>7.41</v>
      </c>
      <c r="L125">
        <v>7.61</v>
      </c>
      <c r="M125">
        <f t="shared" si="1"/>
        <v>4.9000000000000004</v>
      </c>
    </row>
    <row r="126" spans="1:13" x14ac:dyDescent="0.2">
      <c r="A126" t="s">
        <v>139</v>
      </c>
      <c r="B126">
        <v>25</v>
      </c>
      <c r="C126" t="s">
        <v>17</v>
      </c>
      <c r="D126">
        <v>8.4</v>
      </c>
      <c r="E126">
        <v>3.4</v>
      </c>
      <c r="F126">
        <v>1.6</v>
      </c>
      <c r="G126">
        <v>1.7</v>
      </c>
      <c r="H126">
        <v>5.9</v>
      </c>
      <c r="I126">
        <v>62</v>
      </c>
      <c r="J126">
        <v>2.1</v>
      </c>
      <c r="K126">
        <v>6.03</v>
      </c>
      <c r="L126">
        <v>6.23</v>
      </c>
      <c r="M126">
        <f t="shared" si="1"/>
        <v>3.7</v>
      </c>
    </row>
    <row r="127" spans="1:13" x14ac:dyDescent="0.2">
      <c r="A127" t="s">
        <v>140</v>
      </c>
      <c r="B127">
        <v>22</v>
      </c>
      <c r="C127" t="s">
        <v>17</v>
      </c>
      <c r="D127">
        <v>6.2</v>
      </c>
      <c r="E127">
        <v>2.5</v>
      </c>
      <c r="F127">
        <v>3.8</v>
      </c>
      <c r="G127">
        <v>1.2</v>
      </c>
      <c r="H127">
        <v>6.9</v>
      </c>
      <c r="I127">
        <v>75</v>
      </c>
      <c r="J127">
        <v>2.5</v>
      </c>
      <c r="K127">
        <v>7.38</v>
      </c>
      <c r="L127">
        <v>7.58</v>
      </c>
      <c r="M127">
        <f t="shared" si="1"/>
        <v>6.3</v>
      </c>
    </row>
    <row r="128" spans="1:13" x14ac:dyDescent="0.2">
      <c r="A128" t="s">
        <v>141</v>
      </c>
      <c r="B128">
        <v>23</v>
      </c>
      <c r="C128" t="s">
        <v>13</v>
      </c>
      <c r="D128">
        <v>9.6</v>
      </c>
      <c r="E128">
        <v>3.8</v>
      </c>
      <c r="F128">
        <v>0.4</v>
      </c>
      <c r="G128">
        <v>1.9</v>
      </c>
      <c r="H128">
        <v>5.3</v>
      </c>
      <c r="I128">
        <v>55</v>
      </c>
      <c r="J128">
        <v>1.8</v>
      </c>
      <c r="K128">
        <v>5.31</v>
      </c>
      <c r="L128">
        <v>5.51</v>
      </c>
      <c r="M128">
        <f t="shared" si="1"/>
        <v>2.2000000000000002</v>
      </c>
    </row>
    <row r="129" spans="1:13" x14ac:dyDescent="0.2">
      <c r="A129" t="s">
        <v>142</v>
      </c>
      <c r="B129">
        <v>23</v>
      </c>
      <c r="C129" t="s">
        <v>17</v>
      </c>
      <c r="D129">
        <v>5</v>
      </c>
      <c r="E129">
        <v>2</v>
      </c>
      <c r="F129">
        <v>5</v>
      </c>
      <c r="G129">
        <v>1</v>
      </c>
      <c r="H129">
        <v>7.4</v>
      </c>
      <c r="I129">
        <v>81</v>
      </c>
      <c r="J129">
        <v>2.7</v>
      </c>
      <c r="K129">
        <v>7.97</v>
      </c>
      <c r="L129">
        <v>8.17</v>
      </c>
      <c r="M129">
        <f t="shared" si="1"/>
        <v>7.7</v>
      </c>
    </row>
    <row r="130" spans="1:13" x14ac:dyDescent="0.2">
      <c r="A130" t="s">
        <v>143</v>
      </c>
      <c r="B130">
        <v>24</v>
      </c>
      <c r="C130" t="s">
        <v>17</v>
      </c>
      <c r="D130">
        <v>4.5</v>
      </c>
      <c r="E130">
        <v>1.8</v>
      </c>
      <c r="F130">
        <v>5.5</v>
      </c>
      <c r="G130">
        <v>0.9</v>
      </c>
      <c r="H130">
        <v>7.6</v>
      </c>
      <c r="I130">
        <v>88</v>
      </c>
      <c r="J130">
        <v>2.9</v>
      </c>
      <c r="K130">
        <v>8.65</v>
      </c>
      <c r="L130">
        <v>8.85</v>
      </c>
      <c r="M130">
        <f t="shared" ref="M130:M193" si="2">F130+J130</f>
        <v>8.4</v>
      </c>
    </row>
    <row r="131" spans="1:13" x14ac:dyDescent="0.2">
      <c r="A131" t="s">
        <v>144</v>
      </c>
      <c r="B131">
        <v>22</v>
      </c>
      <c r="C131" t="s">
        <v>17</v>
      </c>
      <c r="D131">
        <v>9.4</v>
      </c>
      <c r="E131">
        <v>3.8</v>
      </c>
      <c r="F131">
        <v>0.6</v>
      </c>
      <c r="G131">
        <v>1.9</v>
      </c>
      <c r="H131">
        <v>6.4</v>
      </c>
      <c r="I131">
        <v>62</v>
      </c>
      <c r="J131">
        <v>2.1</v>
      </c>
      <c r="K131">
        <v>6.05</v>
      </c>
      <c r="L131">
        <v>6.25</v>
      </c>
      <c r="M131">
        <f t="shared" si="2"/>
        <v>2.7</v>
      </c>
    </row>
    <row r="132" spans="1:13" x14ac:dyDescent="0.2">
      <c r="A132" t="s">
        <v>145</v>
      </c>
      <c r="B132">
        <v>24</v>
      </c>
      <c r="C132" t="s">
        <v>13</v>
      </c>
      <c r="D132">
        <v>6.9</v>
      </c>
      <c r="E132">
        <v>2.8</v>
      </c>
      <c r="F132">
        <v>3.1</v>
      </c>
      <c r="G132">
        <v>1.4</v>
      </c>
      <c r="H132">
        <v>7.2</v>
      </c>
      <c r="I132">
        <v>76</v>
      </c>
      <c r="J132">
        <v>2.6</v>
      </c>
      <c r="K132">
        <v>7.47</v>
      </c>
      <c r="L132">
        <v>7.67</v>
      </c>
      <c r="M132">
        <f t="shared" si="2"/>
        <v>5.7</v>
      </c>
    </row>
    <row r="133" spans="1:13" x14ac:dyDescent="0.2">
      <c r="A133" t="s">
        <v>146</v>
      </c>
      <c r="B133">
        <v>20</v>
      </c>
      <c r="C133" t="s">
        <v>17</v>
      </c>
      <c r="D133">
        <v>5.7</v>
      </c>
      <c r="E133">
        <v>2.2999999999999998</v>
      </c>
      <c r="F133">
        <v>4.3</v>
      </c>
      <c r="G133">
        <v>1.1000000000000001</v>
      </c>
      <c r="H133">
        <v>7.3</v>
      </c>
      <c r="I133">
        <v>93</v>
      </c>
      <c r="J133">
        <v>3.1</v>
      </c>
      <c r="K133">
        <v>9.14</v>
      </c>
      <c r="L133">
        <v>9.34</v>
      </c>
      <c r="M133">
        <f t="shared" si="2"/>
        <v>7.4</v>
      </c>
    </row>
    <row r="134" spans="1:13" x14ac:dyDescent="0.2">
      <c r="A134" t="s">
        <v>147</v>
      </c>
      <c r="B134">
        <v>22</v>
      </c>
      <c r="C134" t="s">
        <v>17</v>
      </c>
      <c r="D134">
        <v>5.2</v>
      </c>
      <c r="E134">
        <v>2.1</v>
      </c>
      <c r="F134">
        <v>4.8</v>
      </c>
      <c r="G134">
        <v>1</v>
      </c>
      <c r="H134">
        <v>7.8</v>
      </c>
      <c r="I134">
        <v>92</v>
      </c>
      <c r="J134">
        <v>3.1</v>
      </c>
      <c r="K134">
        <v>9.07</v>
      </c>
      <c r="L134">
        <v>9.27</v>
      </c>
      <c r="M134">
        <f t="shared" si="2"/>
        <v>7.9</v>
      </c>
    </row>
    <row r="135" spans="1:13" x14ac:dyDescent="0.2">
      <c r="A135" t="s">
        <v>148</v>
      </c>
      <c r="B135">
        <v>17</v>
      </c>
      <c r="C135" t="s">
        <v>13</v>
      </c>
      <c r="D135">
        <v>7</v>
      </c>
      <c r="E135">
        <v>2.8</v>
      </c>
      <c r="F135">
        <v>3</v>
      </c>
      <c r="G135">
        <v>1.4</v>
      </c>
      <c r="H135">
        <v>6.5</v>
      </c>
      <c r="I135">
        <v>79</v>
      </c>
      <c r="J135">
        <v>2.6</v>
      </c>
      <c r="K135">
        <v>7.72</v>
      </c>
      <c r="L135">
        <v>7.92</v>
      </c>
      <c r="M135">
        <f t="shared" si="2"/>
        <v>5.6</v>
      </c>
    </row>
    <row r="136" spans="1:13" x14ac:dyDescent="0.2">
      <c r="A136" t="s">
        <v>149</v>
      </c>
      <c r="B136">
        <v>24</v>
      </c>
      <c r="C136" t="s">
        <v>13</v>
      </c>
      <c r="D136">
        <v>6</v>
      </c>
      <c r="E136">
        <v>2.4</v>
      </c>
      <c r="F136">
        <v>4</v>
      </c>
      <c r="G136">
        <v>1.2</v>
      </c>
      <c r="H136">
        <v>6.1</v>
      </c>
      <c r="I136">
        <v>69</v>
      </c>
      <c r="J136">
        <v>2.2999999999999998</v>
      </c>
      <c r="K136">
        <v>6.76</v>
      </c>
      <c r="L136">
        <v>6.96</v>
      </c>
      <c r="M136">
        <f t="shared" si="2"/>
        <v>6.3</v>
      </c>
    </row>
    <row r="137" spans="1:13" x14ac:dyDescent="0.2">
      <c r="A137" t="s">
        <v>150</v>
      </c>
      <c r="B137">
        <v>24</v>
      </c>
      <c r="C137" t="s">
        <v>13</v>
      </c>
      <c r="D137">
        <v>4.5</v>
      </c>
      <c r="E137">
        <v>1.8</v>
      </c>
      <c r="F137">
        <v>5.5</v>
      </c>
      <c r="G137">
        <v>0.9</v>
      </c>
      <c r="H137">
        <v>7</v>
      </c>
      <c r="I137">
        <v>80</v>
      </c>
      <c r="J137">
        <v>2.7</v>
      </c>
      <c r="K137">
        <v>7.88</v>
      </c>
      <c r="L137">
        <v>8.08</v>
      </c>
      <c r="M137">
        <f t="shared" si="2"/>
        <v>8.1999999999999993</v>
      </c>
    </row>
    <row r="138" spans="1:13" x14ac:dyDescent="0.2">
      <c r="A138" t="s">
        <v>151</v>
      </c>
      <c r="B138">
        <v>21</v>
      </c>
      <c r="C138" t="s">
        <v>13</v>
      </c>
      <c r="D138">
        <v>6.5</v>
      </c>
      <c r="E138">
        <v>2.6</v>
      </c>
      <c r="F138">
        <v>3.5</v>
      </c>
      <c r="G138">
        <v>1.3</v>
      </c>
      <c r="H138">
        <v>7.4</v>
      </c>
      <c r="I138">
        <v>72</v>
      </c>
      <c r="J138">
        <v>2.4</v>
      </c>
      <c r="K138">
        <v>7.02</v>
      </c>
      <c r="L138">
        <v>7.22</v>
      </c>
      <c r="M138">
        <f t="shared" si="2"/>
        <v>5.9</v>
      </c>
    </row>
    <row r="139" spans="1:13" x14ac:dyDescent="0.2">
      <c r="A139" t="s">
        <v>152</v>
      </c>
      <c r="B139">
        <v>24</v>
      </c>
      <c r="C139" t="s">
        <v>13</v>
      </c>
      <c r="D139">
        <v>9.9</v>
      </c>
      <c r="E139">
        <v>4</v>
      </c>
      <c r="F139">
        <v>0.1</v>
      </c>
      <c r="G139">
        <v>2</v>
      </c>
      <c r="H139">
        <v>5.6</v>
      </c>
      <c r="I139">
        <v>57</v>
      </c>
      <c r="J139">
        <v>1.9</v>
      </c>
      <c r="K139">
        <v>5.5699999999999896</v>
      </c>
      <c r="L139">
        <v>5.77</v>
      </c>
      <c r="M139">
        <f t="shared" si="2"/>
        <v>2</v>
      </c>
    </row>
    <row r="140" spans="1:13" x14ac:dyDescent="0.2">
      <c r="A140" t="s">
        <v>153</v>
      </c>
      <c r="B140">
        <v>21</v>
      </c>
      <c r="C140" t="s">
        <v>13</v>
      </c>
      <c r="D140">
        <v>7.4</v>
      </c>
      <c r="E140">
        <v>3</v>
      </c>
      <c r="F140">
        <v>2.6</v>
      </c>
      <c r="G140">
        <v>1.5</v>
      </c>
      <c r="H140">
        <v>6.2</v>
      </c>
      <c r="I140">
        <v>78</v>
      </c>
      <c r="J140">
        <v>2.6</v>
      </c>
      <c r="K140">
        <v>7.6099999999999897</v>
      </c>
      <c r="L140">
        <v>7.81</v>
      </c>
      <c r="M140">
        <f t="shared" si="2"/>
        <v>5.2</v>
      </c>
    </row>
    <row r="141" spans="1:13" x14ac:dyDescent="0.2">
      <c r="A141" t="s">
        <v>154</v>
      </c>
      <c r="B141">
        <v>20</v>
      </c>
      <c r="C141" t="s">
        <v>17</v>
      </c>
      <c r="D141">
        <v>8.8000000000000007</v>
      </c>
      <c r="E141">
        <v>3.5</v>
      </c>
      <c r="F141">
        <v>1.2</v>
      </c>
      <c r="G141">
        <v>1.8</v>
      </c>
      <c r="H141">
        <v>5.3</v>
      </c>
      <c r="I141">
        <v>65</v>
      </c>
      <c r="J141">
        <v>2.2000000000000002</v>
      </c>
      <c r="K141">
        <v>6.37</v>
      </c>
      <c r="L141">
        <v>6.57</v>
      </c>
      <c r="M141">
        <f t="shared" si="2"/>
        <v>3.4000000000000004</v>
      </c>
    </row>
    <row r="142" spans="1:13" x14ac:dyDescent="0.2">
      <c r="A142" t="s">
        <v>155</v>
      </c>
      <c r="B142">
        <v>24</v>
      </c>
      <c r="C142" t="s">
        <v>13</v>
      </c>
      <c r="D142">
        <v>9.3000000000000007</v>
      </c>
      <c r="E142">
        <v>3.7</v>
      </c>
      <c r="F142">
        <v>0.7</v>
      </c>
      <c r="G142">
        <v>1.9</v>
      </c>
      <c r="H142">
        <v>6.2</v>
      </c>
      <c r="I142">
        <v>60</v>
      </c>
      <c r="J142">
        <v>2</v>
      </c>
      <c r="K142">
        <v>5.81</v>
      </c>
      <c r="L142">
        <v>6.01</v>
      </c>
      <c r="M142">
        <f t="shared" si="2"/>
        <v>2.7</v>
      </c>
    </row>
    <row r="143" spans="1:13" x14ac:dyDescent="0.2">
      <c r="A143" t="s">
        <v>156</v>
      </c>
      <c r="B143">
        <v>25</v>
      </c>
      <c r="C143" t="s">
        <v>17</v>
      </c>
      <c r="D143">
        <v>9.4</v>
      </c>
      <c r="E143">
        <v>3.8</v>
      </c>
      <c r="F143">
        <v>0.6</v>
      </c>
      <c r="G143">
        <v>1.9</v>
      </c>
      <c r="H143">
        <v>5.8</v>
      </c>
      <c r="I143">
        <v>63</v>
      </c>
      <c r="J143">
        <v>2.1</v>
      </c>
      <c r="K143">
        <v>6.1099999999999897</v>
      </c>
      <c r="L143">
        <v>6.31</v>
      </c>
      <c r="M143">
        <f t="shared" si="2"/>
        <v>2.7</v>
      </c>
    </row>
    <row r="144" spans="1:13" x14ac:dyDescent="0.2">
      <c r="A144" t="s">
        <v>157</v>
      </c>
      <c r="B144">
        <v>24</v>
      </c>
      <c r="C144" t="s">
        <v>17</v>
      </c>
      <c r="D144">
        <v>9.4</v>
      </c>
      <c r="E144">
        <v>3.8</v>
      </c>
      <c r="F144">
        <v>0.6</v>
      </c>
      <c r="G144">
        <v>1.9</v>
      </c>
      <c r="H144">
        <v>5.8</v>
      </c>
      <c r="I144">
        <v>60</v>
      </c>
      <c r="J144">
        <v>2</v>
      </c>
      <c r="K144">
        <v>5.8</v>
      </c>
      <c r="L144">
        <v>6</v>
      </c>
      <c r="M144">
        <f t="shared" si="2"/>
        <v>2.6</v>
      </c>
    </row>
    <row r="145" spans="1:13" x14ac:dyDescent="0.2">
      <c r="A145" t="s">
        <v>158</v>
      </c>
      <c r="B145">
        <v>24</v>
      </c>
      <c r="C145" t="s">
        <v>13</v>
      </c>
      <c r="D145">
        <v>7.3</v>
      </c>
      <c r="E145">
        <v>2.9</v>
      </c>
      <c r="F145">
        <v>2.7</v>
      </c>
      <c r="G145">
        <v>1.5</v>
      </c>
      <c r="H145">
        <v>6.5</v>
      </c>
      <c r="I145">
        <v>73</v>
      </c>
      <c r="J145">
        <v>2.4</v>
      </c>
      <c r="K145">
        <v>7.12</v>
      </c>
      <c r="L145">
        <v>7.32</v>
      </c>
      <c r="M145">
        <f t="shared" si="2"/>
        <v>5.0999999999999996</v>
      </c>
    </row>
    <row r="146" spans="1:13" x14ac:dyDescent="0.2">
      <c r="A146" t="s">
        <v>159</v>
      </c>
      <c r="B146">
        <v>23</v>
      </c>
      <c r="C146" t="s">
        <v>17</v>
      </c>
      <c r="D146">
        <v>4.8</v>
      </c>
      <c r="E146">
        <v>1.9</v>
      </c>
      <c r="F146">
        <v>5.2</v>
      </c>
      <c r="G146">
        <v>1</v>
      </c>
      <c r="H146">
        <v>7.9</v>
      </c>
      <c r="I146">
        <v>93</v>
      </c>
      <c r="J146">
        <v>3.1</v>
      </c>
      <c r="K146">
        <v>9.19</v>
      </c>
      <c r="L146">
        <v>9.39</v>
      </c>
      <c r="M146">
        <f t="shared" si="2"/>
        <v>8.3000000000000007</v>
      </c>
    </row>
    <row r="147" spans="1:13" x14ac:dyDescent="0.2">
      <c r="A147" t="s">
        <v>160</v>
      </c>
      <c r="B147">
        <v>23</v>
      </c>
      <c r="C147" t="s">
        <v>17</v>
      </c>
      <c r="D147">
        <v>8.6999999999999993</v>
      </c>
      <c r="E147">
        <v>3.5</v>
      </c>
      <c r="F147">
        <v>1.3</v>
      </c>
      <c r="G147">
        <v>1.7</v>
      </c>
      <c r="H147">
        <v>5.5</v>
      </c>
      <c r="I147">
        <v>57</v>
      </c>
      <c r="J147">
        <v>1.9</v>
      </c>
      <c r="K147">
        <v>5.5</v>
      </c>
      <c r="L147">
        <v>5.7</v>
      </c>
      <c r="M147">
        <f t="shared" si="2"/>
        <v>3.2</v>
      </c>
    </row>
    <row r="148" spans="1:13" x14ac:dyDescent="0.2">
      <c r="A148" t="s">
        <v>161</v>
      </c>
      <c r="B148">
        <v>17</v>
      </c>
      <c r="C148" t="s">
        <v>13</v>
      </c>
      <c r="D148">
        <v>4.2</v>
      </c>
      <c r="E148">
        <v>1.7</v>
      </c>
      <c r="F148">
        <v>5.8</v>
      </c>
      <c r="G148">
        <v>0.8</v>
      </c>
      <c r="H148">
        <v>8.1</v>
      </c>
      <c r="I148">
        <v>89</v>
      </c>
      <c r="J148">
        <v>3</v>
      </c>
      <c r="K148">
        <v>8.74</v>
      </c>
      <c r="L148">
        <v>8.94</v>
      </c>
      <c r="M148">
        <f t="shared" si="2"/>
        <v>8.8000000000000007</v>
      </c>
    </row>
    <row r="149" spans="1:13" x14ac:dyDescent="0.2">
      <c r="A149" t="s">
        <v>162</v>
      </c>
      <c r="B149">
        <v>20</v>
      </c>
      <c r="C149" t="s">
        <v>13</v>
      </c>
      <c r="D149">
        <v>8.9</v>
      </c>
      <c r="E149">
        <v>3.6</v>
      </c>
      <c r="F149">
        <v>1.1000000000000001</v>
      </c>
      <c r="G149">
        <v>1.8</v>
      </c>
      <c r="H149">
        <v>6.3</v>
      </c>
      <c r="I149">
        <v>56</v>
      </c>
      <c r="J149">
        <v>1.9</v>
      </c>
      <c r="K149">
        <v>5.4399999999999897</v>
      </c>
      <c r="L149">
        <v>5.64</v>
      </c>
      <c r="M149">
        <f t="shared" si="2"/>
        <v>3</v>
      </c>
    </row>
    <row r="150" spans="1:13" x14ac:dyDescent="0.2">
      <c r="A150" t="s">
        <v>163</v>
      </c>
      <c r="B150">
        <v>18</v>
      </c>
      <c r="C150" t="s">
        <v>17</v>
      </c>
      <c r="D150">
        <v>7</v>
      </c>
      <c r="E150">
        <v>2.8</v>
      </c>
      <c r="F150">
        <v>3</v>
      </c>
      <c r="G150">
        <v>1.4</v>
      </c>
      <c r="H150">
        <v>6.7</v>
      </c>
      <c r="I150">
        <v>74</v>
      </c>
      <c r="J150">
        <v>2.5</v>
      </c>
      <c r="K150">
        <v>7.25</v>
      </c>
      <c r="L150">
        <v>7.45</v>
      </c>
      <c r="M150">
        <f t="shared" si="2"/>
        <v>5.5</v>
      </c>
    </row>
    <row r="151" spans="1:13" x14ac:dyDescent="0.2">
      <c r="A151" t="s">
        <v>164</v>
      </c>
      <c r="B151">
        <v>20</v>
      </c>
      <c r="C151" t="s">
        <v>17</v>
      </c>
      <c r="D151">
        <v>7.8</v>
      </c>
      <c r="E151">
        <v>3.1</v>
      </c>
      <c r="F151">
        <v>2.2000000000000002</v>
      </c>
      <c r="G151">
        <v>1.6</v>
      </c>
      <c r="H151">
        <v>6.8</v>
      </c>
      <c r="I151">
        <v>76</v>
      </c>
      <c r="J151">
        <v>2.5</v>
      </c>
      <c r="K151">
        <v>7.43</v>
      </c>
      <c r="L151">
        <v>7.63</v>
      </c>
      <c r="M151">
        <f t="shared" si="2"/>
        <v>4.7</v>
      </c>
    </row>
    <row r="152" spans="1:13" x14ac:dyDescent="0.2">
      <c r="A152" t="s">
        <v>165</v>
      </c>
      <c r="B152">
        <v>24</v>
      </c>
      <c r="C152" t="s">
        <v>13</v>
      </c>
      <c r="D152">
        <v>9.8000000000000007</v>
      </c>
      <c r="E152">
        <v>3.9</v>
      </c>
      <c r="F152">
        <v>0.2</v>
      </c>
      <c r="G152">
        <v>2</v>
      </c>
      <c r="H152">
        <v>5.3</v>
      </c>
      <c r="I152">
        <v>59</v>
      </c>
      <c r="J152">
        <v>2</v>
      </c>
      <c r="K152">
        <v>5.75</v>
      </c>
      <c r="L152">
        <v>5.95</v>
      </c>
      <c r="M152">
        <f t="shared" si="2"/>
        <v>2.2000000000000002</v>
      </c>
    </row>
    <row r="153" spans="1:13" x14ac:dyDescent="0.2">
      <c r="A153" t="s">
        <v>166</v>
      </c>
      <c r="B153">
        <v>20</v>
      </c>
      <c r="C153" t="s">
        <v>17</v>
      </c>
      <c r="D153">
        <v>4.5999999999999996</v>
      </c>
      <c r="E153">
        <v>1.8</v>
      </c>
      <c r="F153">
        <v>5.4</v>
      </c>
      <c r="G153">
        <v>0.9</v>
      </c>
      <c r="H153">
        <v>8.1</v>
      </c>
      <c r="I153">
        <v>83</v>
      </c>
      <c r="J153">
        <v>2.8</v>
      </c>
      <c r="K153">
        <v>8.11</v>
      </c>
      <c r="L153">
        <v>8.31</v>
      </c>
      <c r="M153">
        <f t="shared" si="2"/>
        <v>8.1999999999999993</v>
      </c>
    </row>
    <row r="154" spans="1:13" x14ac:dyDescent="0.2">
      <c r="A154" t="s">
        <v>167</v>
      </c>
      <c r="B154">
        <v>25</v>
      </c>
      <c r="C154" t="s">
        <v>13</v>
      </c>
      <c r="D154">
        <v>9.5</v>
      </c>
      <c r="E154">
        <v>3.8</v>
      </c>
      <c r="F154">
        <v>0.5</v>
      </c>
      <c r="G154">
        <v>1.9</v>
      </c>
      <c r="H154">
        <v>5.2</v>
      </c>
      <c r="I154">
        <v>64</v>
      </c>
      <c r="J154">
        <v>2.1</v>
      </c>
      <c r="K154">
        <v>6.22</v>
      </c>
      <c r="L154">
        <v>6.42</v>
      </c>
      <c r="M154">
        <f t="shared" si="2"/>
        <v>2.6</v>
      </c>
    </row>
    <row r="155" spans="1:13" x14ac:dyDescent="0.2">
      <c r="A155" t="s">
        <v>168</v>
      </c>
      <c r="B155">
        <v>17</v>
      </c>
      <c r="C155" t="s">
        <v>13</v>
      </c>
      <c r="D155">
        <v>4.5</v>
      </c>
      <c r="E155">
        <v>1.8</v>
      </c>
      <c r="F155">
        <v>5.5</v>
      </c>
      <c r="G155">
        <v>0.9</v>
      </c>
      <c r="H155">
        <v>8.3000000000000007</v>
      </c>
      <c r="I155">
        <v>80</v>
      </c>
      <c r="J155">
        <v>2.7</v>
      </c>
      <c r="K155">
        <v>7.81</v>
      </c>
      <c r="L155">
        <v>8.01</v>
      </c>
      <c r="M155">
        <f t="shared" si="2"/>
        <v>8.1999999999999993</v>
      </c>
    </row>
    <row r="156" spans="1:13" x14ac:dyDescent="0.2">
      <c r="A156" t="s">
        <v>169</v>
      </c>
      <c r="B156">
        <v>25</v>
      </c>
      <c r="C156" t="s">
        <v>17</v>
      </c>
      <c r="D156">
        <v>5.4</v>
      </c>
      <c r="E156">
        <v>2.2000000000000002</v>
      </c>
      <c r="F156">
        <v>4.5999999999999996</v>
      </c>
      <c r="G156">
        <v>1.1000000000000001</v>
      </c>
      <c r="H156">
        <v>7.3</v>
      </c>
      <c r="I156">
        <v>81</v>
      </c>
      <c r="J156">
        <v>2.7</v>
      </c>
      <c r="K156">
        <v>7.93</v>
      </c>
      <c r="L156">
        <v>8.1300000000000008</v>
      </c>
      <c r="M156">
        <f t="shared" si="2"/>
        <v>7.3</v>
      </c>
    </row>
    <row r="157" spans="1:13" x14ac:dyDescent="0.2">
      <c r="A157" t="s">
        <v>170</v>
      </c>
      <c r="B157">
        <v>25</v>
      </c>
      <c r="C157" t="s">
        <v>17</v>
      </c>
      <c r="D157">
        <v>9.1999999999999993</v>
      </c>
      <c r="E157">
        <v>3.7</v>
      </c>
      <c r="F157">
        <v>0.8</v>
      </c>
      <c r="G157">
        <v>1.8</v>
      </c>
      <c r="H157">
        <v>5.9</v>
      </c>
      <c r="I157">
        <v>61</v>
      </c>
      <c r="J157">
        <v>2.1</v>
      </c>
      <c r="K157">
        <v>5.97</v>
      </c>
      <c r="L157">
        <v>6.17</v>
      </c>
      <c r="M157">
        <f t="shared" si="2"/>
        <v>2.9000000000000004</v>
      </c>
    </row>
    <row r="158" spans="1:13" x14ac:dyDescent="0.2">
      <c r="A158" t="s">
        <v>171</v>
      </c>
      <c r="B158">
        <v>19</v>
      </c>
      <c r="C158" t="s">
        <v>17</v>
      </c>
      <c r="D158">
        <v>6</v>
      </c>
      <c r="E158">
        <v>2.4</v>
      </c>
      <c r="F158">
        <v>4</v>
      </c>
      <c r="G158">
        <v>1.2</v>
      </c>
      <c r="H158">
        <v>6</v>
      </c>
      <c r="I158">
        <v>77</v>
      </c>
      <c r="J158">
        <v>2.6</v>
      </c>
      <c r="K158">
        <v>7.56</v>
      </c>
      <c r="L158">
        <v>7.76</v>
      </c>
      <c r="M158">
        <f t="shared" si="2"/>
        <v>6.6</v>
      </c>
    </row>
    <row r="159" spans="1:13" x14ac:dyDescent="0.2">
      <c r="A159" t="s">
        <v>172</v>
      </c>
      <c r="B159">
        <v>18</v>
      </c>
      <c r="C159" t="s">
        <v>17</v>
      </c>
      <c r="D159">
        <v>6.5</v>
      </c>
      <c r="E159">
        <v>2.6</v>
      </c>
      <c r="F159">
        <v>3.5</v>
      </c>
      <c r="G159">
        <v>1.3</v>
      </c>
      <c r="H159">
        <v>7.4</v>
      </c>
      <c r="I159">
        <v>78</v>
      </c>
      <c r="J159">
        <v>2.6</v>
      </c>
      <c r="K159">
        <v>7.64</v>
      </c>
      <c r="L159">
        <v>7.84</v>
      </c>
      <c r="M159">
        <f t="shared" si="2"/>
        <v>6.1</v>
      </c>
    </row>
    <row r="160" spans="1:13" x14ac:dyDescent="0.2">
      <c r="A160" t="s">
        <v>173</v>
      </c>
      <c r="B160">
        <v>22</v>
      </c>
      <c r="C160" t="s">
        <v>13</v>
      </c>
      <c r="D160">
        <v>8.4</v>
      </c>
      <c r="E160">
        <v>3.4</v>
      </c>
      <c r="F160">
        <v>1.6</v>
      </c>
      <c r="G160">
        <v>1.7</v>
      </c>
      <c r="H160">
        <v>5.3</v>
      </c>
      <c r="I160">
        <v>60</v>
      </c>
      <c r="J160">
        <v>2</v>
      </c>
      <c r="K160">
        <v>5.89</v>
      </c>
      <c r="L160">
        <v>6.09</v>
      </c>
      <c r="M160">
        <f t="shared" si="2"/>
        <v>3.6</v>
      </c>
    </row>
    <row r="161" spans="1:13" x14ac:dyDescent="0.2">
      <c r="A161" t="s">
        <v>174</v>
      </c>
      <c r="B161">
        <v>17</v>
      </c>
      <c r="C161" t="s">
        <v>17</v>
      </c>
      <c r="D161">
        <v>7.5</v>
      </c>
      <c r="E161">
        <v>3</v>
      </c>
      <c r="F161">
        <v>2.5</v>
      </c>
      <c r="G161">
        <v>1.5</v>
      </c>
      <c r="H161">
        <v>6.1</v>
      </c>
      <c r="I161">
        <v>70</v>
      </c>
      <c r="J161">
        <v>2.2999999999999998</v>
      </c>
      <c r="K161">
        <v>6.8</v>
      </c>
      <c r="L161">
        <v>7</v>
      </c>
      <c r="M161">
        <f t="shared" si="2"/>
        <v>4.8</v>
      </c>
    </row>
    <row r="162" spans="1:13" x14ac:dyDescent="0.2">
      <c r="A162" t="s">
        <v>175</v>
      </c>
      <c r="B162">
        <v>17</v>
      </c>
      <c r="C162" t="s">
        <v>17</v>
      </c>
      <c r="D162">
        <v>7.5</v>
      </c>
      <c r="E162">
        <v>3</v>
      </c>
      <c r="F162">
        <v>2.5</v>
      </c>
      <c r="G162">
        <v>1.5</v>
      </c>
      <c r="H162">
        <v>6</v>
      </c>
      <c r="I162">
        <v>75</v>
      </c>
      <c r="J162">
        <v>2.5</v>
      </c>
      <c r="K162">
        <v>7.3599999999999897</v>
      </c>
      <c r="L162">
        <v>7.56</v>
      </c>
      <c r="M162">
        <f t="shared" si="2"/>
        <v>5</v>
      </c>
    </row>
    <row r="163" spans="1:13" x14ac:dyDescent="0.2">
      <c r="A163" t="s">
        <v>176</v>
      </c>
      <c r="B163">
        <v>24</v>
      </c>
      <c r="C163" t="s">
        <v>17</v>
      </c>
      <c r="D163">
        <v>9.9</v>
      </c>
      <c r="E163">
        <v>4</v>
      </c>
      <c r="F163">
        <v>0.1</v>
      </c>
      <c r="G163">
        <v>2</v>
      </c>
      <c r="H163">
        <v>5.8</v>
      </c>
      <c r="I163">
        <v>61</v>
      </c>
      <c r="J163">
        <v>2</v>
      </c>
      <c r="K163">
        <v>5.8999999999999897</v>
      </c>
      <c r="L163">
        <v>6.1</v>
      </c>
      <c r="M163">
        <f t="shared" si="2"/>
        <v>2.1</v>
      </c>
    </row>
    <row r="164" spans="1:13" x14ac:dyDescent="0.2">
      <c r="A164" t="s">
        <v>177</v>
      </c>
      <c r="B164">
        <v>24</v>
      </c>
      <c r="C164" t="s">
        <v>17</v>
      </c>
      <c r="D164">
        <v>5.8</v>
      </c>
      <c r="E164">
        <v>2.2999999999999998</v>
      </c>
      <c r="F164">
        <v>4.2</v>
      </c>
      <c r="G164">
        <v>1.2</v>
      </c>
      <c r="H164">
        <v>7.6</v>
      </c>
      <c r="I164">
        <v>84</v>
      </c>
      <c r="J164">
        <v>2.8</v>
      </c>
      <c r="K164">
        <v>8.2200000000000006</v>
      </c>
      <c r="L164">
        <v>8.42</v>
      </c>
      <c r="M164">
        <f t="shared" si="2"/>
        <v>7</v>
      </c>
    </row>
    <row r="165" spans="1:13" x14ac:dyDescent="0.2">
      <c r="A165" t="s">
        <v>178</v>
      </c>
      <c r="B165">
        <v>19</v>
      </c>
      <c r="C165" t="s">
        <v>13</v>
      </c>
      <c r="D165">
        <v>6.1</v>
      </c>
      <c r="E165">
        <v>2.4</v>
      </c>
      <c r="F165">
        <v>3.9</v>
      </c>
      <c r="G165">
        <v>1.2</v>
      </c>
      <c r="H165">
        <v>6.9</v>
      </c>
      <c r="I165">
        <v>73</v>
      </c>
      <c r="J165">
        <v>2.5</v>
      </c>
      <c r="K165">
        <v>7.16</v>
      </c>
      <c r="L165">
        <v>7.36</v>
      </c>
      <c r="M165">
        <f t="shared" si="2"/>
        <v>6.4</v>
      </c>
    </row>
    <row r="166" spans="1:13" x14ac:dyDescent="0.2">
      <c r="A166" t="s">
        <v>179</v>
      </c>
      <c r="B166">
        <v>17</v>
      </c>
      <c r="C166" t="s">
        <v>13</v>
      </c>
      <c r="D166">
        <v>5.8</v>
      </c>
      <c r="E166">
        <v>2.2999999999999998</v>
      </c>
      <c r="F166">
        <v>4.2</v>
      </c>
      <c r="G166">
        <v>1.2</v>
      </c>
      <c r="H166">
        <v>7.8</v>
      </c>
      <c r="I166">
        <v>92</v>
      </c>
      <c r="J166">
        <v>3.1</v>
      </c>
      <c r="K166">
        <v>9.0299999999999994</v>
      </c>
      <c r="L166">
        <v>9.23</v>
      </c>
      <c r="M166">
        <f t="shared" si="2"/>
        <v>7.3000000000000007</v>
      </c>
    </row>
    <row r="167" spans="1:13" x14ac:dyDescent="0.2">
      <c r="A167" t="s">
        <v>180</v>
      </c>
      <c r="B167">
        <v>23</v>
      </c>
      <c r="C167" t="s">
        <v>17</v>
      </c>
      <c r="D167">
        <v>7</v>
      </c>
      <c r="E167">
        <v>2.8</v>
      </c>
      <c r="F167">
        <v>3</v>
      </c>
      <c r="G167">
        <v>1.4</v>
      </c>
      <c r="H167">
        <v>6.2</v>
      </c>
      <c r="I167">
        <v>77</v>
      </c>
      <c r="J167">
        <v>2.6</v>
      </c>
      <c r="K167">
        <v>7.52</v>
      </c>
      <c r="L167">
        <v>7.72</v>
      </c>
      <c r="M167">
        <f t="shared" si="2"/>
        <v>5.6</v>
      </c>
    </row>
    <row r="168" spans="1:13" x14ac:dyDescent="0.2">
      <c r="A168" t="s">
        <v>181</v>
      </c>
      <c r="B168">
        <v>17</v>
      </c>
      <c r="C168" t="s">
        <v>17</v>
      </c>
      <c r="D168">
        <v>8.5</v>
      </c>
      <c r="E168">
        <v>3.4</v>
      </c>
      <c r="F168">
        <v>1.5</v>
      </c>
      <c r="G168">
        <v>1.7</v>
      </c>
      <c r="H168">
        <v>6.3</v>
      </c>
      <c r="I168">
        <v>58</v>
      </c>
      <c r="J168">
        <v>2</v>
      </c>
      <c r="K168">
        <v>5.6499999999999897</v>
      </c>
      <c r="L168">
        <v>5.85</v>
      </c>
      <c r="M168">
        <f t="shared" si="2"/>
        <v>3.5</v>
      </c>
    </row>
    <row r="169" spans="1:13" x14ac:dyDescent="0.2">
      <c r="A169" t="s">
        <v>182</v>
      </c>
      <c r="B169">
        <v>17</v>
      </c>
      <c r="C169" t="s">
        <v>17</v>
      </c>
      <c r="D169">
        <v>9.9</v>
      </c>
      <c r="E169">
        <v>4</v>
      </c>
      <c r="F169">
        <v>0.1</v>
      </c>
      <c r="G169">
        <v>2</v>
      </c>
      <c r="H169">
        <v>6.3</v>
      </c>
      <c r="I169">
        <v>65</v>
      </c>
      <c r="J169">
        <v>2.2000000000000002</v>
      </c>
      <c r="K169">
        <v>6.39</v>
      </c>
      <c r="L169">
        <v>6.59</v>
      </c>
      <c r="M169">
        <f t="shared" si="2"/>
        <v>2.3000000000000003</v>
      </c>
    </row>
    <row r="170" spans="1:13" x14ac:dyDescent="0.2">
      <c r="A170" t="s">
        <v>183</v>
      </c>
      <c r="B170">
        <v>22</v>
      </c>
      <c r="C170" t="s">
        <v>17</v>
      </c>
      <c r="D170">
        <v>5.3</v>
      </c>
      <c r="E170">
        <v>2.1</v>
      </c>
      <c r="F170">
        <v>4.7</v>
      </c>
      <c r="G170">
        <v>1.1000000000000001</v>
      </c>
      <c r="H170">
        <v>8</v>
      </c>
      <c r="I170">
        <v>82</v>
      </c>
      <c r="J170">
        <v>2.8</v>
      </c>
      <c r="K170">
        <v>8.06</v>
      </c>
      <c r="L170">
        <v>8.26</v>
      </c>
      <c r="M170">
        <f t="shared" si="2"/>
        <v>7.5</v>
      </c>
    </row>
    <row r="171" spans="1:13" x14ac:dyDescent="0.2">
      <c r="A171" t="s">
        <v>184</v>
      </c>
      <c r="B171">
        <v>18</v>
      </c>
      <c r="C171" t="s">
        <v>17</v>
      </c>
      <c r="D171">
        <v>8.8000000000000007</v>
      </c>
      <c r="E171">
        <v>3.5</v>
      </c>
      <c r="F171">
        <v>1.2</v>
      </c>
      <c r="G171">
        <v>1.8</v>
      </c>
      <c r="H171">
        <v>6</v>
      </c>
      <c r="I171">
        <v>57</v>
      </c>
      <c r="J171">
        <v>1.9</v>
      </c>
      <c r="K171">
        <v>5.53</v>
      </c>
      <c r="L171">
        <v>5.73</v>
      </c>
      <c r="M171">
        <f t="shared" si="2"/>
        <v>3.0999999999999996</v>
      </c>
    </row>
    <row r="172" spans="1:13" x14ac:dyDescent="0.2">
      <c r="A172" t="s">
        <v>185</v>
      </c>
      <c r="B172">
        <v>20</v>
      </c>
      <c r="C172" t="s">
        <v>17</v>
      </c>
      <c r="D172">
        <v>5.5</v>
      </c>
      <c r="E172">
        <v>2.2000000000000002</v>
      </c>
      <c r="F172">
        <v>4.5</v>
      </c>
      <c r="G172">
        <v>1.1000000000000001</v>
      </c>
      <c r="H172">
        <v>8.3000000000000007</v>
      </c>
      <c r="I172">
        <v>92</v>
      </c>
      <c r="J172">
        <v>3.1</v>
      </c>
      <c r="K172">
        <v>9.0399999999999991</v>
      </c>
      <c r="L172">
        <v>9.24</v>
      </c>
      <c r="M172">
        <f t="shared" si="2"/>
        <v>7.6</v>
      </c>
    </row>
    <row r="173" spans="1:13" x14ac:dyDescent="0.2">
      <c r="A173" t="s">
        <v>186</v>
      </c>
      <c r="B173">
        <v>23</v>
      </c>
      <c r="C173" t="s">
        <v>13</v>
      </c>
      <c r="D173">
        <v>4.8</v>
      </c>
      <c r="E173">
        <v>1.9</v>
      </c>
      <c r="F173">
        <v>5.2</v>
      </c>
      <c r="G173">
        <v>1</v>
      </c>
      <c r="H173">
        <v>7.5</v>
      </c>
      <c r="I173">
        <v>86</v>
      </c>
      <c r="J173">
        <v>2.9</v>
      </c>
      <c r="K173">
        <v>8.41</v>
      </c>
      <c r="L173">
        <v>8.61</v>
      </c>
      <c r="M173">
        <f t="shared" si="2"/>
        <v>8.1</v>
      </c>
    </row>
    <row r="174" spans="1:13" x14ac:dyDescent="0.2">
      <c r="A174" t="s">
        <v>187</v>
      </c>
      <c r="B174">
        <v>20</v>
      </c>
      <c r="C174" t="s">
        <v>17</v>
      </c>
      <c r="D174">
        <v>4.5</v>
      </c>
      <c r="E174">
        <v>1.8</v>
      </c>
      <c r="F174">
        <v>5.5</v>
      </c>
      <c r="G174">
        <v>0.9</v>
      </c>
      <c r="H174">
        <v>7</v>
      </c>
      <c r="I174">
        <v>82</v>
      </c>
      <c r="J174">
        <v>2.7</v>
      </c>
      <c r="K174">
        <v>8.02</v>
      </c>
      <c r="L174">
        <v>8.2200000000000006</v>
      </c>
      <c r="M174">
        <f t="shared" si="2"/>
        <v>8.1999999999999993</v>
      </c>
    </row>
    <row r="175" spans="1:13" x14ac:dyDescent="0.2">
      <c r="A175" t="s">
        <v>188</v>
      </c>
      <c r="B175">
        <v>18</v>
      </c>
      <c r="C175" t="s">
        <v>17</v>
      </c>
      <c r="D175">
        <v>6.5</v>
      </c>
      <c r="E175">
        <v>2.6</v>
      </c>
      <c r="F175">
        <v>3.5</v>
      </c>
      <c r="G175">
        <v>1.3</v>
      </c>
      <c r="H175">
        <v>7.2</v>
      </c>
      <c r="I175">
        <v>78</v>
      </c>
      <c r="J175">
        <v>2.6</v>
      </c>
      <c r="K175">
        <v>7.67</v>
      </c>
      <c r="L175">
        <v>7.87</v>
      </c>
      <c r="M175">
        <f t="shared" si="2"/>
        <v>6.1</v>
      </c>
    </row>
    <row r="176" spans="1:13" x14ac:dyDescent="0.2">
      <c r="A176" t="s">
        <v>189</v>
      </c>
      <c r="B176">
        <v>25</v>
      </c>
      <c r="C176" t="s">
        <v>13</v>
      </c>
      <c r="D176">
        <v>7.5</v>
      </c>
      <c r="E176">
        <v>3</v>
      </c>
      <c r="F176">
        <v>2.5</v>
      </c>
      <c r="G176">
        <v>1.5</v>
      </c>
      <c r="H176">
        <v>6.9</v>
      </c>
      <c r="I176">
        <v>71</v>
      </c>
      <c r="J176">
        <v>2.4</v>
      </c>
      <c r="K176">
        <v>6.92</v>
      </c>
      <c r="L176">
        <v>7.12</v>
      </c>
      <c r="M176">
        <f t="shared" si="2"/>
        <v>4.9000000000000004</v>
      </c>
    </row>
    <row r="177" spans="1:13" x14ac:dyDescent="0.2">
      <c r="A177" t="s">
        <v>190</v>
      </c>
      <c r="B177">
        <v>17</v>
      </c>
      <c r="C177" t="s">
        <v>13</v>
      </c>
      <c r="D177">
        <v>9.1999999999999993</v>
      </c>
      <c r="E177">
        <v>3.7</v>
      </c>
      <c r="F177">
        <v>0.8</v>
      </c>
      <c r="G177">
        <v>1.8</v>
      </c>
      <c r="H177">
        <v>6.5</v>
      </c>
      <c r="I177">
        <v>57</v>
      </c>
      <c r="J177">
        <v>1.9</v>
      </c>
      <c r="K177">
        <v>5.59</v>
      </c>
      <c r="L177">
        <v>5.79</v>
      </c>
      <c r="M177">
        <f t="shared" si="2"/>
        <v>2.7</v>
      </c>
    </row>
    <row r="178" spans="1:13" x14ac:dyDescent="0.2">
      <c r="A178" t="s">
        <v>191</v>
      </c>
      <c r="B178">
        <v>18</v>
      </c>
      <c r="C178" t="s">
        <v>17</v>
      </c>
      <c r="D178">
        <v>7.4</v>
      </c>
      <c r="E178">
        <v>3</v>
      </c>
      <c r="F178">
        <v>2.6</v>
      </c>
      <c r="G178">
        <v>1.5</v>
      </c>
      <c r="H178">
        <v>6.7</v>
      </c>
      <c r="I178">
        <v>79</v>
      </c>
      <c r="J178">
        <v>2.7</v>
      </c>
      <c r="K178">
        <v>7.78</v>
      </c>
      <c r="L178">
        <v>7.98</v>
      </c>
      <c r="M178">
        <f t="shared" si="2"/>
        <v>5.3000000000000007</v>
      </c>
    </row>
    <row r="179" spans="1:13" x14ac:dyDescent="0.2">
      <c r="A179" t="s">
        <v>192</v>
      </c>
      <c r="B179">
        <v>23</v>
      </c>
      <c r="C179" t="s">
        <v>17</v>
      </c>
      <c r="D179">
        <v>7.1</v>
      </c>
      <c r="E179">
        <v>2.8</v>
      </c>
      <c r="F179">
        <v>2.9</v>
      </c>
      <c r="G179">
        <v>1.4</v>
      </c>
      <c r="H179">
        <v>7</v>
      </c>
      <c r="I179">
        <v>76</v>
      </c>
      <c r="J179">
        <v>2.6</v>
      </c>
      <c r="K179">
        <v>7.49</v>
      </c>
      <c r="L179">
        <v>7.69</v>
      </c>
      <c r="M179">
        <f t="shared" si="2"/>
        <v>5.5</v>
      </c>
    </row>
    <row r="180" spans="1:13" x14ac:dyDescent="0.2">
      <c r="A180" t="s">
        <v>193</v>
      </c>
      <c r="B180">
        <v>18</v>
      </c>
      <c r="C180" t="s">
        <v>17</v>
      </c>
      <c r="D180">
        <v>4.8</v>
      </c>
      <c r="E180">
        <v>1.9</v>
      </c>
      <c r="F180">
        <v>5.2</v>
      </c>
      <c r="G180">
        <v>1</v>
      </c>
      <c r="H180">
        <v>8.5</v>
      </c>
      <c r="I180">
        <v>94</v>
      </c>
      <c r="J180">
        <v>3.2</v>
      </c>
      <c r="K180">
        <v>9.27</v>
      </c>
      <c r="L180">
        <v>9.4700000000000006</v>
      </c>
      <c r="M180">
        <f t="shared" si="2"/>
        <v>8.4</v>
      </c>
    </row>
    <row r="181" spans="1:13" x14ac:dyDescent="0.2">
      <c r="A181" t="s">
        <v>194</v>
      </c>
      <c r="B181">
        <v>20</v>
      </c>
      <c r="C181" t="s">
        <v>17</v>
      </c>
      <c r="D181">
        <v>8.1</v>
      </c>
      <c r="E181">
        <v>3.2</v>
      </c>
      <c r="F181">
        <v>1.9</v>
      </c>
      <c r="G181">
        <v>1.6</v>
      </c>
      <c r="H181">
        <v>5.8</v>
      </c>
      <c r="I181">
        <v>65</v>
      </c>
      <c r="J181">
        <v>2.2000000000000002</v>
      </c>
      <c r="K181">
        <v>6.37</v>
      </c>
      <c r="L181">
        <v>6.57</v>
      </c>
      <c r="M181">
        <f t="shared" si="2"/>
        <v>4.0999999999999996</v>
      </c>
    </row>
    <row r="182" spans="1:13" x14ac:dyDescent="0.2">
      <c r="A182" t="s">
        <v>195</v>
      </c>
      <c r="B182">
        <v>23</v>
      </c>
      <c r="C182" t="s">
        <v>17</v>
      </c>
      <c r="D182">
        <v>5.6</v>
      </c>
      <c r="E182">
        <v>2.2000000000000002</v>
      </c>
      <c r="F182">
        <v>4.4000000000000004</v>
      </c>
      <c r="G182">
        <v>1.1000000000000001</v>
      </c>
      <c r="H182">
        <v>8</v>
      </c>
      <c r="I182">
        <v>89</v>
      </c>
      <c r="J182">
        <v>3</v>
      </c>
      <c r="K182">
        <v>8.7100000000000009</v>
      </c>
      <c r="L182">
        <v>8.91</v>
      </c>
      <c r="M182">
        <f t="shared" si="2"/>
        <v>7.4</v>
      </c>
    </row>
    <row r="183" spans="1:13" x14ac:dyDescent="0.2">
      <c r="A183" t="s">
        <v>196</v>
      </c>
      <c r="B183">
        <v>24</v>
      </c>
      <c r="C183" t="s">
        <v>13</v>
      </c>
      <c r="D183">
        <v>4.0999999999999996</v>
      </c>
      <c r="E183">
        <v>1.6</v>
      </c>
      <c r="F183">
        <v>5.9</v>
      </c>
      <c r="G183">
        <v>0.8</v>
      </c>
      <c r="H183">
        <v>8.4</v>
      </c>
      <c r="I183">
        <v>80</v>
      </c>
      <c r="J183">
        <v>2.7</v>
      </c>
      <c r="K183">
        <v>7.87</v>
      </c>
      <c r="L183">
        <v>8.07</v>
      </c>
      <c r="M183">
        <f t="shared" si="2"/>
        <v>8.6000000000000014</v>
      </c>
    </row>
    <row r="184" spans="1:13" x14ac:dyDescent="0.2">
      <c r="A184" t="s">
        <v>197</v>
      </c>
      <c r="B184">
        <v>21</v>
      </c>
      <c r="C184" t="s">
        <v>13</v>
      </c>
      <c r="D184">
        <v>7.6</v>
      </c>
      <c r="E184">
        <v>3</v>
      </c>
      <c r="F184">
        <v>2.4</v>
      </c>
      <c r="G184">
        <v>1.5</v>
      </c>
      <c r="H184">
        <v>6.3</v>
      </c>
      <c r="I184">
        <v>76</v>
      </c>
      <c r="J184">
        <v>2.5</v>
      </c>
      <c r="K184">
        <v>7.3999999999999897</v>
      </c>
      <c r="L184">
        <v>7.6</v>
      </c>
      <c r="M184">
        <f t="shared" si="2"/>
        <v>4.9000000000000004</v>
      </c>
    </row>
    <row r="185" spans="1:13" x14ac:dyDescent="0.2">
      <c r="A185" t="s">
        <v>198</v>
      </c>
      <c r="B185">
        <v>17</v>
      </c>
      <c r="C185" t="s">
        <v>17</v>
      </c>
      <c r="D185">
        <v>8.6</v>
      </c>
      <c r="E185">
        <v>3.4</v>
      </c>
      <c r="F185">
        <v>1.4</v>
      </c>
      <c r="G185">
        <v>1.7</v>
      </c>
      <c r="H185">
        <v>5.5</v>
      </c>
      <c r="I185">
        <v>60</v>
      </c>
      <c r="J185">
        <v>2</v>
      </c>
      <c r="K185">
        <v>5.85</v>
      </c>
      <c r="L185">
        <v>6.05</v>
      </c>
      <c r="M185">
        <f t="shared" si="2"/>
        <v>3.4</v>
      </c>
    </row>
    <row r="186" spans="1:13" x14ac:dyDescent="0.2">
      <c r="A186" t="s">
        <v>199</v>
      </c>
      <c r="B186">
        <v>20</v>
      </c>
      <c r="C186" t="s">
        <v>17</v>
      </c>
      <c r="D186">
        <v>4.5</v>
      </c>
      <c r="E186">
        <v>1.8</v>
      </c>
      <c r="F186">
        <v>5.5</v>
      </c>
      <c r="G186">
        <v>0.9</v>
      </c>
      <c r="H186">
        <v>7.1</v>
      </c>
      <c r="I186">
        <v>93</v>
      </c>
      <c r="J186">
        <v>3.1</v>
      </c>
      <c r="K186">
        <v>9.14</v>
      </c>
      <c r="L186">
        <v>9.34</v>
      </c>
      <c r="M186">
        <f t="shared" si="2"/>
        <v>8.6</v>
      </c>
    </row>
    <row r="187" spans="1:13" x14ac:dyDescent="0.2">
      <c r="A187" t="s">
        <v>200</v>
      </c>
      <c r="B187">
        <v>24</v>
      </c>
      <c r="C187" t="s">
        <v>13</v>
      </c>
      <c r="D187">
        <v>8.3000000000000007</v>
      </c>
      <c r="E187">
        <v>3.3</v>
      </c>
      <c r="F187">
        <v>1.7</v>
      </c>
      <c r="G187">
        <v>1.7</v>
      </c>
      <c r="H187">
        <v>6.4</v>
      </c>
      <c r="I187">
        <v>62</v>
      </c>
      <c r="J187">
        <v>2.1</v>
      </c>
      <c r="K187">
        <v>6.09</v>
      </c>
      <c r="L187">
        <v>6.29</v>
      </c>
      <c r="M187">
        <f t="shared" si="2"/>
        <v>3.8</v>
      </c>
    </row>
    <row r="188" spans="1:13" x14ac:dyDescent="0.2">
      <c r="A188" t="s">
        <v>201</v>
      </c>
      <c r="B188">
        <v>19</v>
      </c>
      <c r="C188" t="s">
        <v>17</v>
      </c>
      <c r="D188">
        <v>4.8</v>
      </c>
      <c r="E188">
        <v>1.9</v>
      </c>
      <c r="F188">
        <v>5.2</v>
      </c>
      <c r="G188">
        <v>1</v>
      </c>
      <c r="H188">
        <v>7.4</v>
      </c>
      <c r="I188">
        <v>87</v>
      </c>
      <c r="J188">
        <v>2.9</v>
      </c>
      <c r="K188">
        <v>8.57</v>
      </c>
      <c r="L188">
        <v>8.77</v>
      </c>
      <c r="M188">
        <f t="shared" si="2"/>
        <v>8.1</v>
      </c>
    </row>
    <row r="189" spans="1:13" x14ac:dyDescent="0.2">
      <c r="A189" t="s">
        <v>202</v>
      </c>
      <c r="B189">
        <v>25</v>
      </c>
      <c r="C189" t="s">
        <v>13</v>
      </c>
      <c r="D189">
        <v>9</v>
      </c>
      <c r="E189">
        <v>3.6</v>
      </c>
      <c r="F189">
        <v>1</v>
      </c>
      <c r="G189">
        <v>1.8</v>
      </c>
      <c r="H189">
        <v>6.4</v>
      </c>
      <c r="I189">
        <v>66</v>
      </c>
      <c r="J189">
        <v>2.2000000000000002</v>
      </c>
      <c r="K189">
        <v>6.3999999999999897</v>
      </c>
      <c r="L189">
        <v>6.6</v>
      </c>
      <c r="M189">
        <f t="shared" si="2"/>
        <v>3.2</v>
      </c>
    </row>
    <row r="190" spans="1:13" x14ac:dyDescent="0.2">
      <c r="A190" t="s">
        <v>203</v>
      </c>
      <c r="B190">
        <v>25</v>
      </c>
      <c r="C190" t="s">
        <v>17</v>
      </c>
      <c r="D190">
        <v>6.8</v>
      </c>
      <c r="E190">
        <v>2.7</v>
      </c>
      <c r="F190">
        <v>3.2</v>
      </c>
      <c r="G190">
        <v>1.4</v>
      </c>
      <c r="H190">
        <v>6.5</v>
      </c>
      <c r="I190">
        <v>72</v>
      </c>
      <c r="J190">
        <v>2.4</v>
      </c>
      <c r="K190">
        <v>7.01</v>
      </c>
      <c r="L190">
        <v>7.21</v>
      </c>
      <c r="M190">
        <f t="shared" si="2"/>
        <v>5.6</v>
      </c>
    </row>
    <row r="191" spans="1:13" x14ac:dyDescent="0.2">
      <c r="A191" t="s">
        <v>204</v>
      </c>
      <c r="B191">
        <v>18</v>
      </c>
      <c r="C191" t="s">
        <v>17</v>
      </c>
      <c r="D191">
        <v>8.1</v>
      </c>
      <c r="E191">
        <v>3.2</v>
      </c>
      <c r="F191">
        <v>1.9</v>
      </c>
      <c r="G191">
        <v>1.6</v>
      </c>
      <c r="H191">
        <v>5.4</v>
      </c>
      <c r="I191">
        <v>60</v>
      </c>
      <c r="J191">
        <v>2</v>
      </c>
      <c r="K191">
        <v>5.87</v>
      </c>
      <c r="L191">
        <v>6.07</v>
      </c>
      <c r="M191">
        <f t="shared" si="2"/>
        <v>3.9</v>
      </c>
    </row>
    <row r="192" spans="1:13" x14ac:dyDescent="0.2">
      <c r="A192" t="s">
        <v>205</v>
      </c>
      <c r="B192">
        <v>21</v>
      </c>
      <c r="C192" t="s">
        <v>13</v>
      </c>
      <c r="D192">
        <v>4</v>
      </c>
      <c r="E192">
        <v>1.6</v>
      </c>
      <c r="F192">
        <v>6</v>
      </c>
      <c r="G192">
        <v>0.8</v>
      </c>
      <c r="H192">
        <v>7</v>
      </c>
      <c r="I192">
        <v>97</v>
      </c>
      <c r="J192">
        <v>3.2</v>
      </c>
      <c r="K192">
        <v>9.5399999999999991</v>
      </c>
      <c r="L192">
        <v>9.74</v>
      </c>
      <c r="M192">
        <f t="shared" si="2"/>
        <v>9.1999999999999993</v>
      </c>
    </row>
    <row r="193" spans="1:13" x14ac:dyDescent="0.2">
      <c r="A193" t="s">
        <v>206</v>
      </c>
      <c r="B193">
        <v>23</v>
      </c>
      <c r="C193" t="s">
        <v>17</v>
      </c>
      <c r="D193">
        <v>8.8000000000000007</v>
      </c>
      <c r="E193">
        <v>3.5</v>
      </c>
      <c r="F193">
        <v>1.2</v>
      </c>
      <c r="G193">
        <v>1.8</v>
      </c>
      <c r="H193">
        <v>6.2</v>
      </c>
      <c r="I193">
        <v>67</v>
      </c>
      <c r="J193">
        <v>2.2000000000000002</v>
      </c>
      <c r="K193">
        <v>6.55</v>
      </c>
      <c r="L193">
        <v>6.75</v>
      </c>
      <c r="M193">
        <f t="shared" si="2"/>
        <v>3.4000000000000004</v>
      </c>
    </row>
    <row r="194" spans="1:13" x14ac:dyDescent="0.2">
      <c r="A194" t="s">
        <v>207</v>
      </c>
      <c r="B194">
        <v>21</v>
      </c>
      <c r="C194" t="s">
        <v>17</v>
      </c>
      <c r="D194">
        <v>5.0999999999999996</v>
      </c>
      <c r="E194">
        <v>2</v>
      </c>
      <c r="F194">
        <v>4.9000000000000004</v>
      </c>
      <c r="G194">
        <v>1</v>
      </c>
      <c r="H194">
        <v>8.3000000000000007</v>
      </c>
      <c r="I194">
        <v>88</v>
      </c>
      <c r="J194">
        <v>3</v>
      </c>
      <c r="K194">
        <v>8.68</v>
      </c>
      <c r="L194">
        <v>8.8800000000000008</v>
      </c>
      <c r="M194">
        <f t="shared" ref="M194:M257" si="3">F194+J194</f>
        <v>7.9</v>
      </c>
    </row>
    <row r="195" spans="1:13" x14ac:dyDescent="0.2">
      <c r="A195" t="s">
        <v>208</v>
      </c>
      <c r="B195">
        <v>18</v>
      </c>
      <c r="C195" t="s">
        <v>17</v>
      </c>
      <c r="D195">
        <v>8</v>
      </c>
      <c r="E195">
        <v>3.2</v>
      </c>
      <c r="F195">
        <v>2</v>
      </c>
      <c r="G195">
        <v>1.6</v>
      </c>
      <c r="H195">
        <v>6.3</v>
      </c>
      <c r="I195">
        <v>64</v>
      </c>
      <c r="J195">
        <v>2.1</v>
      </c>
      <c r="K195">
        <v>6.2</v>
      </c>
      <c r="L195">
        <v>6.4</v>
      </c>
      <c r="M195">
        <f t="shared" si="3"/>
        <v>4.0999999999999996</v>
      </c>
    </row>
    <row r="196" spans="1:13" x14ac:dyDescent="0.2">
      <c r="A196" t="s">
        <v>209</v>
      </c>
      <c r="B196">
        <v>23</v>
      </c>
      <c r="C196" t="s">
        <v>17</v>
      </c>
      <c r="D196">
        <v>7.9</v>
      </c>
      <c r="E196">
        <v>3.2</v>
      </c>
      <c r="F196">
        <v>2.1</v>
      </c>
      <c r="G196">
        <v>1.6</v>
      </c>
      <c r="H196">
        <v>6.1</v>
      </c>
      <c r="I196">
        <v>76</v>
      </c>
      <c r="J196">
        <v>2.5</v>
      </c>
      <c r="K196">
        <v>7.43</v>
      </c>
      <c r="L196">
        <v>7.63</v>
      </c>
      <c r="M196">
        <f t="shared" si="3"/>
        <v>4.5999999999999996</v>
      </c>
    </row>
    <row r="197" spans="1:13" x14ac:dyDescent="0.2">
      <c r="A197" t="s">
        <v>210</v>
      </c>
      <c r="B197">
        <v>23</v>
      </c>
      <c r="C197" t="s">
        <v>17</v>
      </c>
      <c r="D197">
        <v>5.0999999999999996</v>
      </c>
      <c r="E197">
        <v>2</v>
      </c>
      <c r="F197">
        <v>4.9000000000000004</v>
      </c>
      <c r="G197">
        <v>1</v>
      </c>
      <c r="H197">
        <v>8.4</v>
      </c>
      <c r="I197">
        <v>89</v>
      </c>
      <c r="J197">
        <v>3</v>
      </c>
      <c r="K197">
        <v>8.74</v>
      </c>
      <c r="L197">
        <v>8.94</v>
      </c>
      <c r="M197">
        <f t="shared" si="3"/>
        <v>7.9</v>
      </c>
    </row>
    <row r="198" spans="1:13" x14ac:dyDescent="0.2">
      <c r="A198" t="s">
        <v>211</v>
      </c>
      <c r="B198">
        <v>20</v>
      </c>
      <c r="C198" t="s">
        <v>17</v>
      </c>
      <c r="D198">
        <v>5.2</v>
      </c>
      <c r="E198">
        <v>2.1</v>
      </c>
      <c r="F198">
        <v>4.8</v>
      </c>
      <c r="G198">
        <v>1</v>
      </c>
      <c r="H198">
        <v>7.6</v>
      </c>
      <c r="I198">
        <v>80</v>
      </c>
      <c r="J198">
        <v>2.7</v>
      </c>
      <c r="K198">
        <v>7.8299999999999903</v>
      </c>
      <c r="L198">
        <v>8.0299999999999994</v>
      </c>
      <c r="M198">
        <f t="shared" si="3"/>
        <v>7.5</v>
      </c>
    </row>
    <row r="199" spans="1:13" x14ac:dyDescent="0.2">
      <c r="A199" t="s">
        <v>212</v>
      </c>
      <c r="B199">
        <v>19</v>
      </c>
      <c r="C199" t="s">
        <v>13</v>
      </c>
      <c r="D199">
        <v>6.7</v>
      </c>
      <c r="E199">
        <v>2.7</v>
      </c>
      <c r="F199">
        <v>3.3</v>
      </c>
      <c r="G199">
        <v>1.3</v>
      </c>
      <c r="H199">
        <v>7</v>
      </c>
      <c r="I199">
        <v>74</v>
      </c>
      <c r="J199">
        <v>2.5</v>
      </c>
      <c r="K199">
        <v>7.2299999999999898</v>
      </c>
      <c r="L199">
        <v>7.43</v>
      </c>
      <c r="M199">
        <f t="shared" si="3"/>
        <v>5.8</v>
      </c>
    </row>
    <row r="200" spans="1:13" x14ac:dyDescent="0.2">
      <c r="A200" t="s">
        <v>213</v>
      </c>
      <c r="B200">
        <v>23</v>
      </c>
      <c r="C200" t="s">
        <v>17</v>
      </c>
      <c r="D200">
        <v>4.7</v>
      </c>
      <c r="E200">
        <v>1.9</v>
      </c>
      <c r="F200">
        <v>5.3</v>
      </c>
      <c r="G200">
        <v>0.9</v>
      </c>
      <c r="H200">
        <v>8</v>
      </c>
      <c r="I200">
        <v>79</v>
      </c>
      <c r="J200">
        <v>2.6</v>
      </c>
      <c r="K200">
        <v>7.75</v>
      </c>
      <c r="L200">
        <v>7.95</v>
      </c>
      <c r="M200">
        <f t="shared" si="3"/>
        <v>7.9</v>
      </c>
    </row>
    <row r="201" spans="1:13" x14ac:dyDescent="0.2">
      <c r="A201" t="s">
        <v>214</v>
      </c>
      <c r="B201">
        <v>25</v>
      </c>
      <c r="C201" t="s">
        <v>17</v>
      </c>
      <c r="D201">
        <v>4.4000000000000004</v>
      </c>
      <c r="E201">
        <v>1.8</v>
      </c>
      <c r="F201">
        <v>5.6</v>
      </c>
      <c r="G201">
        <v>0.9</v>
      </c>
      <c r="H201">
        <v>7.8</v>
      </c>
      <c r="I201">
        <v>84</v>
      </c>
      <c r="J201">
        <v>2.8</v>
      </c>
      <c r="K201">
        <v>8.23</v>
      </c>
      <c r="L201">
        <v>8.43</v>
      </c>
      <c r="M201">
        <f t="shared" si="3"/>
        <v>8.3999999999999986</v>
      </c>
    </row>
    <row r="202" spans="1:13" x14ac:dyDescent="0.2">
      <c r="A202" t="s">
        <v>215</v>
      </c>
      <c r="B202">
        <v>23</v>
      </c>
      <c r="C202" t="s">
        <v>17</v>
      </c>
      <c r="D202">
        <v>7.8</v>
      </c>
      <c r="E202">
        <v>3.1</v>
      </c>
      <c r="F202">
        <v>2.2000000000000002</v>
      </c>
      <c r="G202">
        <v>1.6</v>
      </c>
      <c r="H202">
        <v>6.9</v>
      </c>
      <c r="I202">
        <v>78</v>
      </c>
      <c r="J202">
        <v>2.6</v>
      </c>
      <c r="K202">
        <v>7.66</v>
      </c>
      <c r="L202">
        <v>7.86</v>
      </c>
      <c r="M202">
        <f t="shared" si="3"/>
        <v>4.8000000000000007</v>
      </c>
    </row>
    <row r="203" spans="1:13" x14ac:dyDescent="0.2">
      <c r="A203" t="s">
        <v>216</v>
      </c>
      <c r="B203">
        <v>19</v>
      </c>
      <c r="C203" t="s">
        <v>17</v>
      </c>
      <c r="D203">
        <v>9.1999999999999993</v>
      </c>
      <c r="E203">
        <v>3.7</v>
      </c>
      <c r="F203">
        <v>0.8</v>
      </c>
      <c r="G203">
        <v>1.8</v>
      </c>
      <c r="H203">
        <v>6.3</v>
      </c>
      <c r="I203">
        <v>55</v>
      </c>
      <c r="J203">
        <v>1.8</v>
      </c>
      <c r="K203">
        <v>5.33</v>
      </c>
      <c r="L203">
        <v>5.53</v>
      </c>
      <c r="M203">
        <f t="shared" si="3"/>
        <v>2.6</v>
      </c>
    </row>
    <row r="204" spans="1:13" x14ac:dyDescent="0.2">
      <c r="A204" t="s">
        <v>217</v>
      </c>
      <c r="B204">
        <v>25</v>
      </c>
      <c r="C204" t="s">
        <v>13</v>
      </c>
      <c r="D204">
        <v>10</v>
      </c>
      <c r="E204">
        <v>4</v>
      </c>
      <c r="F204">
        <v>0</v>
      </c>
      <c r="G204">
        <v>2</v>
      </c>
      <c r="H204">
        <v>6.2</v>
      </c>
      <c r="I204">
        <v>59</v>
      </c>
      <c r="J204">
        <v>2</v>
      </c>
      <c r="K204">
        <v>5.76</v>
      </c>
      <c r="L204">
        <v>5.96</v>
      </c>
      <c r="M204">
        <f t="shared" si="3"/>
        <v>2</v>
      </c>
    </row>
    <row r="205" spans="1:13" x14ac:dyDescent="0.2">
      <c r="A205" t="s">
        <v>218</v>
      </c>
      <c r="B205">
        <v>23</v>
      </c>
      <c r="C205" t="s">
        <v>13</v>
      </c>
      <c r="D205">
        <v>9.1999999999999993</v>
      </c>
      <c r="E205">
        <v>3.7</v>
      </c>
      <c r="F205">
        <v>0.8</v>
      </c>
      <c r="G205">
        <v>1.8</v>
      </c>
      <c r="H205">
        <v>6.2</v>
      </c>
      <c r="I205">
        <v>67</v>
      </c>
      <c r="J205">
        <v>2.2999999999999998</v>
      </c>
      <c r="K205">
        <v>6.58</v>
      </c>
      <c r="L205">
        <v>6.78</v>
      </c>
      <c r="M205">
        <f t="shared" si="3"/>
        <v>3.0999999999999996</v>
      </c>
    </row>
    <row r="206" spans="1:13" x14ac:dyDescent="0.2">
      <c r="A206" t="s">
        <v>219</v>
      </c>
      <c r="B206">
        <v>18</v>
      </c>
      <c r="C206" t="s">
        <v>13</v>
      </c>
      <c r="D206">
        <v>8.4</v>
      </c>
      <c r="E206">
        <v>3.4</v>
      </c>
      <c r="F206">
        <v>1.6</v>
      </c>
      <c r="G206">
        <v>1.7</v>
      </c>
      <c r="H206">
        <v>5.2</v>
      </c>
      <c r="I206">
        <v>58</v>
      </c>
      <c r="J206">
        <v>1.9</v>
      </c>
      <c r="K206">
        <v>5.6099999999999897</v>
      </c>
      <c r="L206">
        <v>5.81</v>
      </c>
      <c r="M206">
        <f t="shared" si="3"/>
        <v>3.5</v>
      </c>
    </row>
    <row r="207" spans="1:13" x14ac:dyDescent="0.2">
      <c r="A207" t="s">
        <v>220</v>
      </c>
      <c r="B207">
        <v>25</v>
      </c>
      <c r="C207" t="s">
        <v>17</v>
      </c>
      <c r="D207">
        <v>8.3000000000000007</v>
      </c>
      <c r="E207">
        <v>3.3</v>
      </c>
      <c r="F207">
        <v>1.7</v>
      </c>
      <c r="G207">
        <v>1.7</v>
      </c>
      <c r="H207">
        <v>5.4</v>
      </c>
      <c r="I207">
        <v>62</v>
      </c>
      <c r="J207">
        <v>2.1</v>
      </c>
      <c r="K207">
        <v>6.0699999999999896</v>
      </c>
      <c r="L207">
        <v>6.27</v>
      </c>
      <c r="M207">
        <f t="shared" si="3"/>
        <v>3.8</v>
      </c>
    </row>
    <row r="208" spans="1:13" x14ac:dyDescent="0.2">
      <c r="A208" t="s">
        <v>221</v>
      </c>
      <c r="B208">
        <v>21</v>
      </c>
      <c r="C208" t="s">
        <v>17</v>
      </c>
      <c r="D208">
        <v>6.3</v>
      </c>
      <c r="E208">
        <v>2.5</v>
      </c>
      <c r="F208">
        <v>3.7</v>
      </c>
      <c r="G208">
        <v>1.3</v>
      </c>
      <c r="H208">
        <v>6.3</v>
      </c>
      <c r="I208">
        <v>76</v>
      </c>
      <c r="J208">
        <v>2.5</v>
      </c>
      <c r="K208">
        <v>7.42</v>
      </c>
      <c r="L208">
        <v>7.62</v>
      </c>
      <c r="M208">
        <f t="shared" si="3"/>
        <v>6.2</v>
      </c>
    </row>
    <row r="209" spans="1:13" x14ac:dyDescent="0.2">
      <c r="A209" t="s">
        <v>222</v>
      </c>
      <c r="B209">
        <v>18</v>
      </c>
      <c r="C209" t="s">
        <v>17</v>
      </c>
      <c r="D209">
        <v>5.6</v>
      </c>
      <c r="E209">
        <v>2.2000000000000002</v>
      </c>
      <c r="F209">
        <v>4.4000000000000004</v>
      </c>
      <c r="G209">
        <v>1.1000000000000001</v>
      </c>
      <c r="H209">
        <v>8.5</v>
      </c>
      <c r="I209">
        <v>89</v>
      </c>
      <c r="J209">
        <v>3</v>
      </c>
      <c r="K209">
        <v>8.7799999999999994</v>
      </c>
      <c r="L209">
        <v>8.98</v>
      </c>
      <c r="M209">
        <f t="shared" si="3"/>
        <v>7.4</v>
      </c>
    </row>
    <row r="210" spans="1:13" x14ac:dyDescent="0.2">
      <c r="A210" t="s">
        <v>223</v>
      </c>
      <c r="B210">
        <v>21</v>
      </c>
      <c r="C210" t="s">
        <v>17</v>
      </c>
      <c r="D210">
        <v>8.5</v>
      </c>
      <c r="E210">
        <v>3.4</v>
      </c>
      <c r="F210">
        <v>1.5</v>
      </c>
      <c r="G210">
        <v>1.7</v>
      </c>
      <c r="H210">
        <v>5.6</v>
      </c>
      <c r="I210">
        <v>55</v>
      </c>
      <c r="J210">
        <v>1.9</v>
      </c>
      <c r="K210">
        <v>5.38</v>
      </c>
      <c r="L210">
        <v>5.58</v>
      </c>
      <c r="M210">
        <f t="shared" si="3"/>
        <v>3.4</v>
      </c>
    </row>
    <row r="211" spans="1:13" x14ac:dyDescent="0.2">
      <c r="A211" t="s">
        <v>224</v>
      </c>
      <c r="B211">
        <v>25</v>
      </c>
      <c r="C211" t="s">
        <v>17</v>
      </c>
      <c r="D211">
        <v>7.1</v>
      </c>
      <c r="E211">
        <v>2.8</v>
      </c>
      <c r="F211">
        <v>2.9</v>
      </c>
      <c r="G211">
        <v>1.4</v>
      </c>
      <c r="H211">
        <v>6.3</v>
      </c>
      <c r="I211">
        <v>70</v>
      </c>
      <c r="J211">
        <v>2.4</v>
      </c>
      <c r="K211">
        <v>6.88</v>
      </c>
      <c r="L211">
        <v>7.08</v>
      </c>
      <c r="M211">
        <f t="shared" si="3"/>
        <v>5.3</v>
      </c>
    </row>
    <row r="212" spans="1:13" x14ac:dyDescent="0.2">
      <c r="A212" t="s">
        <v>225</v>
      </c>
      <c r="B212">
        <v>23</v>
      </c>
      <c r="C212" t="s">
        <v>17</v>
      </c>
      <c r="D212">
        <v>9.6999999999999993</v>
      </c>
      <c r="E212">
        <v>3.9</v>
      </c>
      <c r="F212">
        <v>0.3</v>
      </c>
      <c r="G212">
        <v>1.9</v>
      </c>
      <c r="H212">
        <v>6.2</v>
      </c>
      <c r="I212">
        <v>65</v>
      </c>
      <c r="J212">
        <v>2.2000000000000002</v>
      </c>
      <c r="K212">
        <v>6.37</v>
      </c>
      <c r="L212">
        <v>6.57</v>
      </c>
      <c r="M212">
        <f t="shared" si="3"/>
        <v>2.5</v>
      </c>
    </row>
    <row r="213" spans="1:13" x14ac:dyDescent="0.2">
      <c r="A213" t="s">
        <v>226</v>
      </c>
      <c r="B213">
        <v>19</v>
      </c>
      <c r="C213" t="s">
        <v>13</v>
      </c>
      <c r="D213">
        <v>7.1</v>
      </c>
      <c r="E213">
        <v>2.8</v>
      </c>
      <c r="F213">
        <v>2.9</v>
      </c>
      <c r="G213">
        <v>1.4</v>
      </c>
      <c r="H213">
        <v>6.8</v>
      </c>
      <c r="I213">
        <v>75</v>
      </c>
      <c r="J213">
        <v>2.5</v>
      </c>
      <c r="K213">
        <v>7.3199999999999896</v>
      </c>
      <c r="L213">
        <v>7.52</v>
      </c>
      <c r="M213">
        <f t="shared" si="3"/>
        <v>5.4</v>
      </c>
    </row>
    <row r="214" spans="1:13" x14ac:dyDescent="0.2">
      <c r="A214" t="s">
        <v>227</v>
      </c>
      <c r="B214">
        <v>22</v>
      </c>
      <c r="C214" t="s">
        <v>17</v>
      </c>
      <c r="D214">
        <v>6.9</v>
      </c>
      <c r="E214">
        <v>2.8</v>
      </c>
      <c r="F214">
        <v>3.1</v>
      </c>
      <c r="G214">
        <v>1.4</v>
      </c>
      <c r="H214">
        <v>7.3</v>
      </c>
      <c r="I214">
        <v>80</v>
      </c>
      <c r="J214">
        <v>2.7</v>
      </c>
      <c r="K214">
        <v>7.8</v>
      </c>
      <c r="L214">
        <v>8</v>
      </c>
      <c r="M214">
        <f t="shared" si="3"/>
        <v>5.8000000000000007</v>
      </c>
    </row>
    <row r="215" spans="1:13" x14ac:dyDescent="0.2">
      <c r="A215" t="s">
        <v>228</v>
      </c>
      <c r="B215">
        <v>18</v>
      </c>
      <c r="C215" t="s">
        <v>17</v>
      </c>
      <c r="D215">
        <v>5.3</v>
      </c>
      <c r="E215">
        <v>2.1</v>
      </c>
      <c r="F215">
        <v>4.7</v>
      </c>
      <c r="G215">
        <v>1.1000000000000001</v>
      </c>
      <c r="H215">
        <v>7.9</v>
      </c>
      <c r="I215">
        <v>88</v>
      </c>
      <c r="J215">
        <v>3</v>
      </c>
      <c r="K215">
        <v>8.67</v>
      </c>
      <c r="L215">
        <v>8.8699999999999992</v>
      </c>
      <c r="M215">
        <f t="shared" si="3"/>
        <v>7.7</v>
      </c>
    </row>
    <row r="216" spans="1:13" x14ac:dyDescent="0.2">
      <c r="A216" t="s">
        <v>229</v>
      </c>
      <c r="B216">
        <v>19</v>
      </c>
      <c r="C216" t="s">
        <v>17</v>
      </c>
      <c r="D216">
        <v>9.3000000000000007</v>
      </c>
      <c r="E216">
        <v>3.7</v>
      </c>
      <c r="F216">
        <v>0.7</v>
      </c>
      <c r="G216">
        <v>1.9</v>
      </c>
      <c r="H216">
        <v>5.2</v>
      </c>
      <c r="I216">
        <v>58</v>
      </c>
      <c r="J216">
        <v>2</v>
      </c>
      <c r="K216">
        <v>5.6499999999999897</v>
      </c>
      <c r="L216">
        <v>5.85</v>
      </c>
      <c r="M216">
        <f t="shared" si="3"/>
        <v>2.7</v>
      </c>
    </row>
    <row r="217" spans="1:13" x14ac:dyDescent="0.2">
      <c r="A217" t="s">
        <v>230</v>
      </c>
      <c r="B217">
        <v>21</v>
      </c>
      <c r="C217" t="s">
        <v>17</v>
      </c>
      <c r="D217">
        <v>9.1</v>
      </c>
      <c r="E217">
        <v>3.6</v>
      </c>
      <c r="F217">
        <v>0.9</v>
      </c>
      <c r="G217">
        <v>1.8</v>
      </c>
      <c r="H217">
        <v>5.5</v>
      </c>
      <c r="I217">
        <v>55</v>
      </c>
      <c r="J217">
        <v>1.8</v>
      </c>
      <c r="K217">
        <v>5.35</v>
      </c>
      <c r="L217">
        <v>5.55</v>
      </c>
      <c r="M217">
        <f t="shared" si="3"/>
        <v>2.7</v>
      </c>
    </row>
    <row r="218" spans="1:13" x14ac:dyDescent="0.2">
      <c r="A218" t="s">
        <v>231</v>
      </c>
      <c r="B218">
        <v>21</v>
      </c>
      <c r="C218" t="s">
        <v>13</v>
      </c>
      <c r="D218">
        <v>4.5</v>
      </c>
      <c r="E218">
        <v>1.8</v>
      </c>
      <c r="F218">
        <v>5.5</v>
      </c>
      <c r="G218">
        <v>0.9</v>
      </c>
      <c r="H218">
        <v>7.6</v>
      </c>
      <c r="I218">
        <v>86</v>
      </c>
      <c r="J218">
        <v>2.9</v>
      </c>
      <c r="K218">
        <v>8.42</v>
      </c>
      <c r="L218">
        <v>8.6199999999999992</v>
      </c>
      <c r="M218">
        <f t="shared" si="3"/>
        <v>8.4</v>
      </c>
    </row>
    <row r="219" spans="1:13" x14ac:dyDescent="0.2">
      <c r="A219" t="s">
        <v>232</v>
      </c>
      <c r="B219">
        <v>17</v>
      </c>
      <c r="C219" t="s">
        <v>13</v>
      </c>
      <c r="D219">
        <v>7</v>
      </c>
      <c r="E219">
        <v>2.8</v>
      </c>
      <c r="F219">
        <v>3</v>
      </c>
      <c r="G219">
        <v>1.4</v>
      </c>
      <c r="H219">
        <v>6.3</v>
      </c>
      <c r="I219">
        <v>69</v>
      </c>
      <c r="J219">
        <v>2.2999999999999998</v>
      </c>
      <c r="K219">
        <v>6.7</v>
      </c>
      <c r="L219">
        <v>6.9</v>
      </c>
      <c r="M219">
        <f t="shared" si="3"/>
        <v>5.3</v>
      </c>
    </row>
    <row r="220" spans="1:13" x14ac:dyDescent="0.2">
      <c r="A220" t="s">
        <v>233</v>
      </c>
      <c r="B220">
        <v>19</v>
      </c>
      <c r="C220" t="s">
        <v>13</v>
      </c>
      <c r="D220">
        <v>7</v>
      </c>
      <c r="E220">
        <v>2.8</v>
      </c>
      <c r="F220">
        <v>3</v>
      </c>
      <c r="G220">
        <v>1.4</v>
      </c>
      <c r="H220">
        <v>6.9</v>
      </c>
      <c r="I220">
        <v>73</v>
      </c>
      <c r="J220">
        <v>2.5</v>
      </c>
      <c r="K220">
        <v>7.18</v>
      </c>
      <c r="L220">
        <v>7.38</v>
      </c>
      <c r="M220">
        <f t="shared" si="3"/>
        <v>5.5</v>
      </c>
    </row>
    <row r="221" spans="1:13" x14ac:dyDescent="0.2">
      <c r="A221" t="s">
        <v>234</v>
      </c>
      <c r="B221">
        <v>22</v>
      </c>
      <c r="C221" t="s">
        <v>13</v>
      </c>
      <c r="D221">
        <v>8</v>
      </c>
      <c r="E221">
        <v>3.2</v>
      </c>
      <c r="F221">
        <v>2</v>
      </c>
      <c r="G221">
        <v>1.6</v>
      </c>
      <c r="H221">
        <v>6.3</v>
      </c>
      <c r="I221">
        <v>62</v>
      </c>
      <c r="J221">
        <v>2.1</v>
      </c>
      <c r="K221">
        <v>6.01</v>
      </c>
      <c r="L221">
        <v>6.21</v>
      </c>
      <c r="M221">
        <f t="shared" si="3"/>
        <v>4.0999999999999996</v>
      </c>
    </row>
    <row r="222" spans="1:13" x14ac:dyDescent="0.2">
      <c r="A222" t="s">
        <v>235</v>
      </c>
      <c r="B222">
        <v>25</v>
      </c>
      <c r="C222" t="s">
        <v>17</v>
      </c>
      <c r="D222">
        <v>8.8000000000000007</v>
      </c>
      <c r="E222">
        <v>3.5</v>
      </c>
      <c r="F222">
        <v>1.2</v>
      </c>
      <c r="G222">
        <v>1.8</v>
      </c>
      <c r="H222">
        <v>6.3</v>
      </c>
      <c r="I222">
        <v>63</v>
      </c>
      <c r="J222">
        <v>2.1</v>
      </c>
      <c r="K222">
        <v>6.16</v>
      </c>
      <c r="L222">
        <v>6.36</v>
      </c>
      <c r="M222">
        <f t="shared" si="3"/>
        <v>3.3</v>
      </c>
    </row>
    <row r="223" spans="1:13" x14ac:dyDescent="0.2">
      <c r="A223" t="s">
        <v>236</v>
      </c>
      <c r="B223">
        <v>21</v>
      </c>
      <c r="C223" t="s">
        <v>17</v>
      </c>
      <c r="D223">
        <v>8.1</v>
      </c>
      <c r="E223">
        <v>3.2</v>
      </c>
      <c r="F223">
        <v>1.9</v>
      </c>
      <c r="G223">
        <v>1.6</v>
      </c>
      <c r="H223">
        <v>6.1</v>
      </c>
      <c r="I223">
        <v>63</v>
      </c>
      <c r="J223">
        <v>2.1</v>
      </c>
      <c r="K223">
        <v>6.1</v>
      </c>
      <c r="L223">
        <v>6.3</v>
      </c>
      <c r="M223">
        <f t="shared" si="3"/>
        <v>4</v>
      </c>
    </row>
    <row r="224" spans="1:13" x14ac:dyDescent="0.2">
      <c r="A224" t="s">
        <v>237</v>
      </c>
      <c r="B224">
        <v>21</v>
      </c>
      <c r="C224" t="s">
        <v>13</v>
      </c>
      <c r="D224">
        <v>9.8000000000000007</v>
      </c>
      <c r="E224">
        <v>3.9</v>
      </c>
      <c r="F224">
        <v>0.2</v>
      </c>
      <c r="G224">
        <v>2</v>
      </c>
      <c r="H224">
        <v>6.3</v>
      </c>
      <c r="I224">
        <v>61</v>
      </c>
      <c r="J224">
        <v>2</v>
      </c>
      <c r="K224">
        <v>5.91</v>
      </c>
      <c r="L224">
        <v>6.11</v>
      </c>
      <c r="M224">
        <f t="shared" si="3"/>
        <v>2.2000000000000002</v>
      </c>
    </row>
    <row r="225" spans="1:13" x14ac:dyDescent="0.2">
      <c r="A225" t="s">
        <v>238</v>
      </c>
      <c r="B225">
        <v>18</v>
      </c>
      <c r="C225" t="s">
        <v>13</v>
      </c>
      <c r="D225">
        <v>9.5</v>
      </c>
      <c r="E225">
        <v>3.8</v>
      </c>
      <c r="F225">
        <v>0.5</v>
      </c>
      <c r="G225">
        <v>1.9</v>
      </c>
      <c r="H225">
        <v>5.8</v>
      </c>
      <c r="I225">
        <v>55</v>
      </c>
      <c r="J225">
        <v>1.8</v>
      </c>
      <c r="K225">
        <v>5.3</v>
      </c>
      <c r="L225">
        <v>5.5</v>
      </c>
      <c r="M225">
        <f t="shared" si="3"/>
        <v>2.2999999999999998</v>
      </c>
    </row>
    <row r="226" spans="1:13" x14ac:dyDescent="0.2">
      <c r="A226" t="s">
        <v>239</v>
      </c>
      <c r="B226">
        <v>18</v>
      </c>
      <c r="C226" t="s">
        <v>13</v>
      </c>
      <c r="D226">
        <v>4.5</v>
      </c>
      <c r="E226">
        <v>1.8</v>
      </c>
      <c r="F226">
        <v>5.5</v>
      </c>
      <c r="G226">
        <v>0.9</v>
      </c>
      <c r="H226">
        <v>7.8</v>
      </c>
      <c r="I226">
        <v>84</v>
      </c>
      <c r="J226">
        <v>2.8</v>
      </c>
      <c r="K226">
        <v>8.25</v>
      </c>
      <c r="L226">
        <v>8.4499999999999993</v>
      </c>
      <c r="M226">
        <f t="shared" si="3"/>
        <v>8.3000000000000007</v>
      </c>
    </row>
    <row r="227" spans="1:13" x14ac:dyDescent="0.2">
      <c r="A227" t="s">
        <v>240</v>
      </c>
      <c r="B227">
        <v>23</v>
      </c>
      <c r="C227" t="s">
        <v>13</v>
      </c>
      <c r="D227">
        <v>4.0999999999999996</v>
      </c>
      <c r="E227">
        <v>1.6</v>
      </c>
      <c r="F227">
        <v>5.9</v>
      </c>
      <c r="G227">
        <v>0.8</v>
      </c>
      <c r="H227">
        <v>7.2</v>
      </c>
      <c r="I227">
        <v>94</v>
      </c>
      <c r="J227">
        <v>3.1</v>
      </c>
      <c r="K227">
        <v>9.24</v>
      </c>
      <c r="L227">
        <v>9.44</v>
      </c>
      <c r="M227">
        <f t="shared" si="3"/>
        <v>9</v>
      </c>
    </row>
    <row r="228" spans="1:13" x14ac:dyDescent="0.2">
      <c r="A228" t="s">
        <v>241</v>
      </c>
      <c r="B228">
        <v>22</v>
      </c>
      <c r="C228" t="s">
        <v>13</v>
      </c>
      <c r="D228">
        <v>6.6</v>
      </c>
      <c r="E228">
        <v>2.6</v>
      </c>
      <c r="F228">
        <v>3.4</v>
      </c>
      <c r="G228">
        <v>1.3</v>
      </c>
      <c r="H228">
        <v>6.6</v>
      </c>
      <c r="I228">
        <v>78</v>
      </c>
      <c r="J228">
        <v>2.6</v>
      </c>
      <c r="K228">
        <v>7.6099999999999897</v>
      </c>
      <c r="L228">
        <v>7.81</v>
      </c>
      <c r="M228">
        <f t="shared" si="3"/>
        <v>6</v>
      </c>
    </row>
    <row r="229" spans="1:13" x14ac:dyDescent="0.2">
      <c r="A229" t="s">
        <v>242</v>
      </c>
      <c r="B229">
        <v>22</v>
      </c>
      <c r="C229" t="s">
        <v>17</v>
      </c>
      <c r="D229">
        <v>5</v>
      </c>
      <c r="E229">
        <v>2</v>
      </c>
      <c r="F229">
        <v>5</v>
      </c>
      <c r="G229">
        <v>1</v>
      </c>
      <c r="H229">
        <v>8.4</v>
      </c>
      <c r="I229">
        <v>93</v>
      </c>
      <c r="J229">
        <v>3.1</v>
      </c>
      <c r="K229">
        <v>9.14</v>
      </c>
      <c r="L229">
        <v>9.34</v>
      </c>
      <c r="M229">
        <f t="shared" si="3"/>
        <v>8.1</v>
      </c>
    </row>
    <row r="230" spans="1:13" x14ac:dyDescent="0.2">
      <c r="A230" t="s">
        <v>243</v>
      </c>
      <c r="B230">
        <v>18</v>
      </c>
      <c r="C230" t="s">
        <v>13</v>
      </c>
      <c r="D230">
        <v>7.5</v>
      </c>
      <c r="E230">
        <v>3</v>
      </c>
      <c r="F230">
        <v>2.5</v>
      </c>
      <c r="G230">
        <v>1.5</v>
      </c>
      <c r="H230">
        <v>6.9</v>
      </c>
      <c r="I230">
        <v>72</v>
      </c>
      <c r="J230">
        <v>2.4</v>
      </c>
      <c r="K230">
        <v>7.02</v>
      </c>
      <c r="L230">
        <v>7.22</v>
      </c>
      <c r="M230">
        <f t="shared" si="3"/>
        <v>4.9000000000000004</v>
      </c>
    </row>
    <row r="231" spans="1:13" x14ac:dyDescent="0.2">
      <c r="A231" t="s">
        <v>244</v>
      </c>
      <c r="B231">
        <v>20</v>
      </c>
      <c r="C231" t="s">
        <v>17</v>
      </c>
      <c r="D231">
        <v>9.8000000000000007</v>
      </c>
      <c r="E231">
        <v>3.9</v>
      </c>
      <c r="F231">
        <v>0.2</v>
      </c>
      <c r="G231">
        <v>2</v>
      </c>
      <c r="H231">
        <v>6.1</v>
      </c>
      <c r="I231">
        <v>67</v>
      </c>
      <c r="J231">
        <v>2.2999999999999998</v>
      </c>
      <c r="K231">
        <v>6.56</v>
      </c>
      <c r="L231">
        <v>6.76</v>
      </c>
      <c r="M231">
        <f t="shared" si="3"/>
        <v>2.5</v>
      </c>
    </row>
    <row r="232" spans="1:13" x14ac:dyDescent="0.2">
      <c r="A232" t="s">
        <v>245</v>
      </c>
      <c r="B232">
        <v>23</v>
      </c>
      <c r="C232" t="s">
        <v>13</v>
      </c>
      <c r="D232">
        <v>6.3</v>
      </c>
      <c r="E232">
        <v>2.5</v>
      </c>
      <c r="F232">
        <v>3.7</v>
      </c>
      <c r="G232">
        <v>1.3</v>
      </c>
      <c r="H232">
        <v>7.2</v>
      </c>
      <c r="I232">
        <v>68</v>
      </c>
      <c r="J232">
        <v>2.2999999999999998</v>
      </c>
      <c r="K232">
        <v>6.68</v>
      </c>
      <c r="L232">
        <v>6.88</v>
      </c>
      <c r="M232">
        <f t="shared" si="3"/>
        <v>6</v>
      </c>
    </row>
    <row r="233" spans="1:13" x14ac:dyDescent="0.2">
      <c r="A233" t="s">
        <v>246</v>
      </c>
      <c r="B233">
        <v>25</v>
      </c>
      <c r="C233" t="s">
        <v>17</v>
      </c>
      <c r="D233">
        <v>5</v>
      </c>
      <c r="E233">
        <v>2</v>
      </c>
      <c r="F233">
        <v>5</v>
      </c>
      <c r="G233">
        <v>1</v>
      </c>
      <c r="H233">
        <v>8.4</v>
      </c>
      <c r="I233">
        <v>87</v>
      </c>
      <c r="J233">
        <v>2.9</v>
      </c>
      <c r="K233">
        <v>8.5399999999999991</v>
      </c>
      <c r="L233">
        <v>8.74</v>
      </c>
      <c r="M233">
        <f t="shared" si="3"/>
        <v>7.9</v>
      </c>
    </row>
    <row r="234" spans="1:13" x14ac:dyDescent="0.2">
      <c r="A234" t="s">
        <v>247</v>
      </c>
      <c r="B234">
        <v>20</v>
      </c>
      <c r="C234" t="s">
        <v>13</v>
      </c>
      <c r="D234">
        <v>7.2</v>
      </c>
      <c r="E234">
        <v>2.9</v>
      </c>
      <c r="F234">
        <v>2.8</v>
      </c>
      <c r="G234">
        <v>1.4</v>
      </c>
      <c r="H234">
        <v>6.4</v>
      </c>
      <c r="I234">
        <v>77</v>
      </c>
      <c r="J234">
        <v>2.6</v>
      </c>
      <c r="K234">
        <v>7.59</v>
      </c>
      <c r="L234">
        <v>7.79</v>
      </c>
      <c r="M234">
        <f t="shared" si="3"/>
        <v>5.4</v>
      </c>
    </row>
    <row r="235" spans="1:13" x14ac:dyDescent="0.2">
      <c r="A235" t="s">
        <v>248</v>
      </c>
      <c r="B235">
        <v>21</v>
      </c>
      <c r="C235" t="s">
        <v>17</v>
      </c>
      <c r="D235">
        <v>4.8</v>
      </c>
      <c r="E235">
        <v>1.9</v>
      </c>
      <c r="F235">
        <v>5.2</v>
      </c>
      <c r="G235">
        <v>1</v>
      </c>
      <c r="H235">
        <v>8.4</v>
      </c>
      <c r="I235">
        <v>95</v>
      </c>
      <c r="J235">
        <v>3.2</v>
      </c>
      <c r="K235">
        <v>9.34</v>
      </c>
      <c r="L235">
        <v>9.5399999999999991</v>
      </c>
      <c r="M235">
        <f t="shared" si="3"/>
        <v>8.4</v>
      </c>
    </row>
    <row r="236" spans="1:13" x14ac:dyDescent="0.2">
      <c r="A236" t="s">
        <v>249</v>
      </c>
      <c r="B236">
        <v>21</v>
      </c>
      <c r="C236" t="s">
        <v>17</v>
      </c>
      <c r="D236">
        <v>6.5</v>
      </c>
      <c r="E236">
        <v>2.6</v>
      </c>
      <c r="F236">
        <v>3.5</v>
      </c>
      <c r="G236">
        <v>1.3</v>
      </c>
      <c r="H236">
        <v>6.6</v>
      </c>
      <c r="I236">
        <v>75</v>
      </c>
      <c r="J236">
        <v>2.5</v>
      </c>
      <c r="K236">
        <v>7.37</v>
      </c>
      <c r="L236">
        <v>7.57</v>
      </c>
      <c r="M236">
        <f t="shared" si="3"/>
        <v>6</v>
      </c>
    </row>
    <row r="237" spans="1:13" x14ac:dyDescent="0.2">
      <c r="A237" t="s">
        <v>250</v>
      </c>
      <c r="B237">
        <v>19</v>
      </c>
      <c r="C237" t="s">
        <v>13</v>
      </c>
      <c r="D237">
        <v>5.9</v>
      </c>
      <c r="E237">
        <v>2.4</v>
      </c>
      <c r="F237">
        <v>4.0999999999999996</v>
      </c>
      <c r="G237">
        <v>1.2</v>
      </c>
      <c r="H237">
        <v>8.1</v>
      </c>
      <c r="I237">
        <v>84</v>
      </c>
      <c r="J237">
        <v>2.8</v>
      </c>
      <c r="K237">
        <v>8.24</v>
      </c>
      <c r="L237">
        <v>8.44</v>
      </c>
      <c r="M237">
        <f t="shared" si="3"/>
        <v>6.8999999999999995</v>
      </c>
    </row>
    <row r="238" spans="1:13" x14ac:dyDescent="0.2">
      <c r="A238" t="s">
        <v>251</v>
      </c>
      <c r="B238">
        <v>25</v>
      </c>
      <c r="C238" t="s">
        <v>17</v>
      </c>
      <c r="D238">
        <v>9.1999999999999993</v>
      </c>
      <c r="E238">
        <v>3.7</v>
      </c>
      <c r="F238">
        <v>0.8</v>
      </c>
      <c r="G238">
        <v>1.8</v>
      </c>
      <c r="H238">
        <v>5.8</v>
      </c>
      <c r="I238">
        <v>64</v>
      </c>
      <c r="J238">
        <v>2.1</v>
      </c>
      <c r="K238">
        <v>6.2299999999999898</v>
      </c>
      <c r="L238">
        <v>6.43</v>
      </c>
      <c r="M238">
        <f t="shared" si="3"/>
        <v>2.9000000000000004</v>
      </c>
    </row>
    <row r="239" spans="1:13" x14ac:dyDescent="0.2">
      <c r="A239" t="s">
        <v>252</v>
      </c>
      <c r="B239">
        <v>20</v>
      </c>
      <c r="C239" t="s">
        <v>17</v>
      </c>
      <c r="D239">
        <v>4.5</v>
      </c>
      <c r="E239">
        <v>1.8</v>
      </c>
      <c r="F239">
        <v>5.5</v>
      </c>
      <c r="G239">
        <v>0.9</v>
      </c>
      <c r="H239">
        <v>7.7</v>
      </c>
      <c r="I239">
        <v>81</v>
      </c>
      <c r="J239">
        <v>2.7</v>
      </c>
      <c r="K239">
        <v>7.9099999999999904</v>
      </c>
      <c r="L239">
        <v>8.11</v>
      </c>
      <c r="M239">
        <f t="shared" si="3"/>
        <v>8.1999999999999993</v>
      </c>
    </row>
    <row r="240" spans="1:13" x14ac:dyDescent="0.2">
      <c r="A240" t="s">
        <v>253</v>
      </c>
      <c r="B240">
        <v>19</v>
      </c>
      <c r="C240" t="s">
        <v>13</v>
      </c>
      <c r="D240">
        <v>7.8</v>
      </c>
      <c r="E240">
        <v>3.1</v>
      </c>
      <c r="F240">
        <v>2.2000000000000002</v>
      </c>
      <c r="G240">
        <v>1.6</v>
      </c>
      <c r="H240">
        <v>6</v>
      </c>
      <c r="I240">
        <v>69</v>
      </c>
      <c r="J240">
        <v>2.2999999999999998</v>
      </c>
      <c r="K240">
        <v>6.76</v>
      </c>
      <c r="L240">
        <v>6.96</v>
      </c>
      <c r="M240">
        <f t="shared" si="3"/>
        <v>4.5</v>
      </c>
    </row>
    <row r="241" spans="1:13" x14ac:dyDescent="0.2">
      <c r="A241" t="s">
        <v>254</v>
      </c>
      <c r="B241">
        <v>20</v>
      </c>
      <c r="C241" t="s">
        <v>13</v>
      </c>
      <c r="D241">
        <v>8.8000000000000007</v>
      </c>
      <c r="E241">
        <v>3.5</v>
      </c>
      <c r="F241">
        <v>1.2</v>
      </c>
      <c r="G241">
        <v>1.8</v>
      </c>
      <c r="H241">
        <v>5.2</v>
      </c>
      <c r="I241">
        <v>61</v>
      </c>
      <c r="J241">
        <v>2</v>
      </c>
      <c r="K241">
        <v>5.93</v>
      </c>
      <c r="L241">
        <v>6.13</v>
      </c>
      <c r="M241">
        <f t="shared" si="3"/>
        <v>3.2</v>
      </c>
    </row>
    <row r="242" spans="1:13" x14ac:dyDescent="0.2">
      <c r="A242" t="s">
        <v>255</v>
      </c>
      <c r="B242">
        <v>22</v>
      </c>
      <c r="C242" t="s">
        <v>17</v>
      </c>
      <c r="D242">
        <v>7.4</v>
      </c>
      <c r="E242">
        <v>3</v>
      </c>
      <c r="F242">
        <v>2.6</v>
      </c>
      <c r="G242">
        <v>1.5</v>
      </c>
      <c r="H242">
        <v>6.2</v>
      </c>
      <c r="I242">
        <v>70</v>
      </c>
      <c r="J242">
        <v>2.4</v>
      </c>
      <c r="K242">
        <v>6.87</v>
      </c>
      <c r="L242">
        <v>7.07</v>
      </c>
      <c r="M242">
        <f t="shared" si="3"/>
        <v>5</v>
      </c>
    </row>
    <row r="243" spans="1:13" x14ac:dyDescent="0.2">
      <c r="A243" t="s">
        <v>256</v>
      </c>
      <c r="B243">
        <v>24</v>
      </c>
      <c r="C243" t="s">
        <v>17</v>
      </c>
      <c r="D243">
        <v>5.6</v>
      </c>
      <c r="E243">
        <v>2.2000000000000002</v>
      </c>
      <c r="F243">
        <v>4.4000000000000004</v>
      </c>
      <c r="G243">
        <v>1.1000000000000001</v>
      </c>
      <c r="H243">
        <v>7.5</v>
      </c>
      <c r="I243">
        <v>94</v>
      </c>
      <c r="J243">
        <v>3.1</v>
      </c>
      <c r="K243">
        <v>9.1999999999999993</v>
      </c>
      <c r="L243">
        <v>9.4</v>
      </c>
      <c r="M243">
        <f t="shared" si="3"/>
        <v>7.5</v>
      </c>
    </row>
    <row r="244" spans="1:13" x14ac:dyDescent="0.2">
      <c r="A244" t="s">
        <v>257</v>
      </c>
      <c r="B244">
        <v>25</v>
      </c>
      <c r="C244" t="s">
        <v>17</v>
      </c>
      <c r="D244">
        <v>4.4000000000000004</v>
      </c>
      <c r="E244">
        <v>1.8</v>
      </c>
      <c r="F244">
        <v>5.6</v>
      </c>
      <c r="G244">
        <v>0.9</v>
      </c>
      <c r="H244">
        <v>7.7</v>
      </c>
      <c r="I244">
        <v>85</v>
      </c>
      <c r="J244">
        <v>2.9</v>
      </c>
      <c r="K244">
        <v>8.3800000000000008</v>
      </c>
      <c r="L244">
        <v>8.58</v>
      </c>
      <c r="M244">
        <f t="shared" si="3"/>
        <v>8.5</v>
      </c>
    </row>
    <row r="245" spans="1:13" x14ac:dyDescent="0.2">
      <c r="A245" t="s">
        <v>258</v>
      </c>
      <c r="B245">
        <v>24</v>
      </c>
      <c r="C245" t="s">
        <v>17</v>
      </c>
      <c r="D245">
        <v>9.6999999999999993</v>
      </c>
      <c r="E245">
        <v>3.9</v>
      </c>
      <c r="F245">
        <v>0.3</v>
      </c>
      <c r="G245">
        <v>1.9</v>
      </c>
      <c r="H245">
        <v>6.1</v>
      </c>
      <c r="I245">
        <v>66</v>
      </c>
      <c r="J245">
        <v>2.2000000000000002</v>
      </c>
      <c r="K245">
        <v>6.4799999999999898</v>
      </c>
      <c r="L245">
        <v>6.68</v>
      </c>
      <c r="M245">
        <f t="shared" si="3"/>
        <v>2.5</v>
      </c>
    </row>
    <row r="246" spans="1:13" x14ac:dyDescent="0.2">
      <c r="A246" t="s">
        <v>259</v>
      </c>
      <c r="B246">
        <v>22</v>
      </c>
      <c r="C246" t="s">
        <v>13</v>
      </c>
      <c r="D246">
        <v>5.5</v>
      </c>
      <c r="E246">
        <v>2.2000000000000002</v>
      </c>
      <c r="F246">
        <v>4.5</v>
      </c>
      <c r="G246">
        <v>1.1000000000000001</v>
      </c>
      <c r="H246">
        <v>7.2</v>
      </c>
      <c r="I246">
        <v>97</v>
      </c>
      <c r="J246">
        <v>3.3</v>
      </c>
      <c r="K246">
        <v>9.57</v>
      </c>
      <c r="L246">
        <v>9.77</v>
      </c>
      <c r="M246">
        <f t="shared" si="3"/>
        <v>7.8</v>
      </c>
    </row>
    <row r="247" spans="1:13" x14ac:dyDescent="0.2">
      <c r="A247" t="s">
        <v>260</v>
      </c>
      <c r="B247">
        <v>18</v>
      </c>
      <c r="C247" t="s">
        <v>17</v>
      </c>
      <c r="D247">
        <v>8.1999999999999993</v>
      </c>
      <c r="E247">
        <v>3.3</v>
      </c>
      <c r="F247">
        <v>1.8</v>
      </c>
      <c r="G247">
        <v>1.6</v>
      </c>
      <c r="H247">
        <v>5</v>
      </c>
      <c r="I247">
        <v>62</v>
      </c>
      <c r="J247">
        <v>2.1</v>
      </c>
      <c r="K247">
        <v>6.03</v>
      </c>
      <c r="L247">
        <v>6.23</v>
      </c>
      <c r="M247">
        <f t="shared" si="3"/>
        <v>3.9000000000000004</v>
      </c>
    </row>
    <row r="248" spans="1:13" x14ac:dyDescent="0.2">
      <c r="A248" t="s">
        <v>261</v>
      </c>
      <c r="B248">
        <v>22</v>
      </c>
      <c r="C248" t="s">
        <v>17</v>
      </c>
      <c r="D248">
        <v>4.5</v>
      </c>
      <c r="E248">
        <v>1.8</v>
      </c>
      <c r="F248">
        <v>5.5</v>
      </c>
      <c r="G248">
        <v>0.9</v>
      </c>
      <c r="H248">
        <v>7</v>
      </c>
      <c r="I248">
        <v>85</v>
      </c>
      <c r="J248">
        <v>2.8</v>
      </c>
      <c r="K248">
        <v>8.3000000000000007</v>
      </c>
      <c r="L248">
        <v>8.5</v>
      </c>
      <c r="M248">
        <f t="shared" si="3"/>
        <v>8.3000000000000007</v>
      </c>
    </row>
    <row r="249" spans="1:13" x14ac:dyDescent="0.2">
      <c r="A249" t="s">
        <v>262</v>
      </c>
      <c r="B249">
        <v>18</v>
      </c>
      <c r="C249" t="s">
        <v>13</v>
      </c>
      <c r="D249">
        <v>4.8</v>
      </c>
      <c r="E249">
        <v>1.9</v>
      </c>
      <c r="F249">
        <v>5.2</v>
      </c>
      <c r="G249">
        <v>1</v>
      </c>
      <c r="H249">
        <v>8</v>
      </c>
      <c r="I249">
        <v>89</v>
      </c>
      <c r="J249">
        <v>3</v>
      </c>
      <c r="K249">
        <v>8.74</v>
      </c>
      <c r="L249">
        <v>8.94</v>
      </c>
      <c r="M249">
        <f t="shared" si="3"/>
        <v>8.1999999999999993</v>
      </c>
    </row>
    <row r="250" spans="1:13" x14ac:dyDescent="0.2">
      <c r="A250" t="s">
        <v>263</v>
      </c>
      <c r="B250">
        <v>22</v>
      </c>
      <c r="C250" t="s">
        <v>17</v>
      </c>
      <c r="D250">
        <v>5</v>
      </c>
      <c r="E250">
        <v>2</v>
      </c>
      <c r="F250">
        <v>5</v>
      </c>
      <c r="G250">
        <v>1</v>
      </c>
      <c r="H250">
        <v>8</v>
      </c>
      <c r="I250">
        <v>80</v>
      </c>
      <c r="J250">
        <v>2.7</v>
      </c>
      <c r="K250">
        <v>7.81</v>
      </c>
      <c r="L250">
        <v>8.01</v>
      </c>
      <c r="M250">
        <f t="shared" si="3"/>
        <v>7.7</v>
      </c>
    </row>
    <row r="251" spans="1:13" x14ac:dyDescent="0.2">
      <c r="A251" t="s">
        <v>264</v>
      </c>
      <c r="B251">
        <v>24</v>
      </c>
      <c r="C251" t="s">
        <v>13</v>
      </c>
      <c r="D251">
        <v>9.6</v>
      </c>
      <c r="E251">
        <v>3.8</v>
      </c>
      <c r="F251">
        <v>0.4</v>
      </c>
      <c r="G251">
        <v>1.9</v>
      </c>
      <c r="H251">
        <v>5.8</v>
      </c>
      <c r="I251">
        <v>55</v>
      </c>
      <c r="J251">
        <v>1.9</v>
      </c>
      <c r="K251">
        <v>5.37</v>
      </c>
      <c r="L251">
        <v>5.57</v>
      </c>
      <c r="M251">
        <f t="shared" si="3"/>
        <v>2.2999999999999998</v>
      </c>
    </row>
    <row r="252" spans="1:13" x14ac:dyDescent="0.2">
      <c r="A252" t="s">
        <v>265</v>
      </c>
      <c r="B252">
        <v>20</v>
      </c>
      <c r="C252" t="s">
        <v>13</v>
      </c>
      <c r="D252">
        <v>8.3000000000000007</v>
      </c>
      <c r="E252">
        <v>3.3</v>
      </c>
      <c r="F252">
        <v>1.7</v>
      </c>
      <c r="G252">
        <v>1.7</v>
      </c>
      <c r="H252">
        <v>5.5</v>
      </c>
      <c r="I252">
        <v>65</v>
      </c>
      <c r="J252">
        <v>2.2000000000000002</v>
      </c>
      <c r="K252">
        <v>6.34</v>
      </c>
      <c r="L252">
        <v>6.54</v>
      </c>
      <c r="M252">
        <f t="shared" si="3"/>
        <v>3.9000000000000004</v>
      </c>
    </row>
    <row r="253" spans="1:13" x14ac:dyDescent="0.2">
      <c r="A253" t="s">
        <v>266</v>
      </c>
      <c r="B253">
        <v>25</v>
      </c>
      <c r="C253" t="s">
        <v>13</v>
      </c>
      <c r="D253">
        <v>7.3</v>
      </c>
      <c r="E253">
        <v>2.9</v>
      </c>
      <c r="F253">
        <v>2.7</v>
      </c>
      <c r="G253">
        <v>1.5</v>
      </c>
      <c r="H253">
        <v>6.7</v>
      </c>
      <c r="I253">
        <v>77</v>
      </c>
      <c r="J253">
        <v>2.6</v>
      </c>
      <c r="K253">
        <v>7.58</v>
      </c>
      <c r="L253">
        <v>7.78</v>
      </c>
      <c r="M253">
        <f t="shared" si="3"/>
        <v>5.3000000000000007</v>
      </c>
    </row>
    <row r="254" spans="1:13" x14ac:dyDescent="0.2">
      <c r="A254" t="s">
        <v>267</v>
      </c>
      <c r="B254">
        <v>25</v>
      </c>
      <c r="C254" t="s">
        <v>17</v>
      </c>
      <c r="D254">
        <v>8.4</v>
      </c>
      <c r="E254">
        <v>3.4</v>
      </c>
      <c r="F254">
        <v>1.6</v>
      </c>
      <c r="G254">
        <v>1.7</v>
      </c>
      <c r="H254">
        <v>5.0999999999999996</v>
      </c>
      <c r="I254">
        <v>56</v>
      </c>
      <c r="J254">
        <v>1.9</v>
      </c>
      <c r="K254">
        <v>5.41</v>
      </c>
      <c r="L254">
        <v>5.61</v>
      </c>
      <c r="M254">
        <f t="shared" si="3"/>
        <v>3.5</v>
      </c>
    </row>
    <row r="255" spans="1:13" x14ac:dyDescent="0.2">
      <c r="A255" t="s">
        <v>268</v>
      </c>
      <c r="B255">
        <v>23</v>
      </c>
      <c r="C255" t="s">
        <v>17</v>
      </c>
      <c r="D255">
        <v>7.7</v>
      </c>
      <c r="E255">
        <v>3.1</v>
      </c>
      <c r="F255">
        <v>2.2999999999999998</v>
      </c>
      <c r="G255">
        <v>1.5</v>
      </c>
      <c r="H255">
        <v>6.7</v>
      </c>
      <c r="I255">
        <v>71</v>
      </c>
      <c r="J255">
        <v>2.4</v>
      </c>
      <c r="K255">
        <v>6.99</v>
      </c>
      <c r="L255">
        <v>7.19</v>
      </c>
      <c r="M255">
        <f t="shared" si="3"/>
        <v>4.6999999999999993</v>
      </c>
    </row>
    <row r="256" spans="1:13" x14ac:dyDescent="0.2">
      <c r="A256" t="s">
        <v>269</v>
      </c>
      <c r="B256">
        <v>19</v>
      </c>
      <c r="C256" t="s">
        <v>13</v>
      </c>
      <c r="D256">
        <v>8</v>
      </c>
      <c r="E256">
        <v>3.2</v>
      </c>
      <c r="F256">
        <v>2</v>
      </c>
      <c r="G256">
        <v>1.6</v>
      </c>
      <c r="H256">
        <v>5.8</v>
      </c>
      <c r="I256">
        <v>61</v>
      </c>
      <c r="J256">
        <v>2.1</v>
      </c>
      <c r="K256">
        <v>5.95</v>
      </c>
      <c r="L256">
        <v>6.15</v>
      </c>
      <c r="M256">
        <f t="shared" si="3"/>
        <v>4.0999999999999996</v>
      </c>
    </row>
    <row r="257" spans="1:13" x14ac:dyDescent="0.2">
      <c r="A257" t="s">
        <v>270</v>
      </c>
      <c r="B257">
        <v>19</v>
      </c>
      <c r="C257" t="s">
        <v>17</v>
      </c>
      <c r="D257">
        <v>6</v>
      </c>
      <c r="E257">
        <v>2.4</v>
      </c>
      <c r="F257">
        <v>4</v>
      </c>
      <c r="G257">
        <v>1.2</v>
      </c>
      <c r="H257">
        <v>6.7</v>
      </c>
      <c r="I257">
        <v>74</v>
      </c>
      <c r="J257">
        <v>2.5</v>
      </c>
      <c r="K257">
        <v>7.25</v>
      </c>
      <c r="L257">
        <v>7.45</v>
      </c>
      <c r="M257">
        <f t="shared" si="3"/>
        <v>6.5</v>
      </c>
    </row>
    <row r="258" spans="1:13" x14ac:dyDescent="0.2">
      <c r="A258" t="s">
        <v>271</v>
      </c>
      <c r="B258">
        <v>17</v>
      </c>
      <c r="C258" t="s">
        <v>13</v>
      </c>
      <c r="D258">
        <v>5.3</v>
      </c>
      <c r="E258">
        <v>2.1</v>
      </c>
      <c r="F258">
        <v>4.7</v>
      </c>
      <c r="G258">
        <v>1.1000000000000001</v>
      </c>
      <c r="H258">
        <v>7.3</v>
      </c>
      <c r="I258">
        <v>86</v>
      </c>
      <c r="J258">
        <v>2.9</v>
      </c>
      <c r="K258">
        <v>8.44</v>
      </c>
      <c r="L258">
        <v>8.64</v>
      </c>
      <c r="M258">
        <f t="shared" ref="M258:M321" si="4">F258+J258</f>
        <v>7.6</v>
      </c>
    </row>
    <row r="259" spans="1:13" x14ac:dyDescent="0.2">
      <c r="A259" t="s">
        <v>272</v>
      </c>
      <c r="B259">
        <v>20</v>
      </c>
      <c r="C259" t="s">
        <v>13</v>
      </c>
      <c r="D259">
        <v>9.8000000000000007</v>
      </c>
      <c r="E259">
        <v>3.9</v>
      </c>
      <c r="F259">
        <v>0.2</v>
      </c>
      <c r="G259">
        <v>2</v>
      </c>
      <c r="H259">
        <v>6.3</v>
      </c>
      <c r="I259">
        <v>60</v>
      </c>
      <c r="J259">
        <v>2</v>
      </c>
      <c r="K259">
        <v>5.84</v>
      </c>
      <c r="L259">
        <v>6.04</v>
      </c>
      <c r="M259">
        <f t="shared" si="4"/>
        <v>2.2000000000000002</v>
      </c>
    </row>
    <row r="260" spans="1:13" x14ac:dyDescent="0.2">
      <c r="A260" t="s">
        <v>273</v>
      </c>
      <c r="B260">
        <v>19</v>
      </c>
      <c r="C260" t="s">
        <v>13</v>
      </c>
      <c r="D260">
        <v>6.2</v>
      </c>
      <c r="E260">
        <v>2.5</v>
      </c>
      <c r="F260">
        <v>3.8</v>
      </c>
      <c r="G260">
        <v>1.2</v>
      </c>
      <c r="H260">
        <v>6.1</v>
      </c>
      <c r="I260">
        <v>79</v>
      </c>
      <c r="J260">
        <v>2.7</v>
      </c>
      <c r="K260">
        <v>7.79</v>
      </c>
      <c r="L260">
        <v>7.99</v>
      </c>
      <c r="M260">
        <f t="shared" si="4"/>
        <v>6.5</v>
      </c>
    </row>
    <row r="261" spans="1:13" x14ac:dyDescent="0.2">
      <c r="A261" t="s">
        <v>274</v>
      </c>
      <c r="B261">
        <v>18</v>
      </c>
      <c r="C261" t="s">
        <v>17</v>
      </c>
      <c r="D261">
        <v>7.5</v>
      </c>
      <c r="E261">
        <v>3</v>
      </c>
      <c r="F261">
        <v>2.5</v>
      </c>
      <c r="G261">
        <v>1.5</v>
      </c>
      <c r="H261">
        <v>6.6</v>
      </c>
      <c r="I261">
        <v>68</v>
      </c>
      <c r="J261">
        <v>2.2999999999999998</v>
      </c>
      <c r="K261">
        <v>6.64</v>
      </c>
      <c r="L261">
        <v>6.84</v>
      </c>
      <c r="M261">
        <f t="shared" si="4"/>
        <v>4.8</v>
      </c>
    </row>
    <row r="262" spans="1:13" x14ac:dyDescent="0.2">
      <c r="A262" t="s">
        <v>275</v>
      </c>
      <c r="B262">
        <v>22</v>
      </c>
      <c r="C262" t="s">
        <v>17</v>
      </c>
      <c r="D262">
        <v>9.4</v>
      </c>
      <c r="E262">
        <v>3.8</v>
      </c>
      <c r="F262">
        <v>0.6</v>
      </c>
      <c r="G262">
        <v>1.9</v>
      </c>
      <c r="H262">
        <v>5.4</v>
      </c>
      <c r="I262">
        <v>60</v>
      </c>
      <c r="J262">
        <v>2</v>
      </c>
      <c r="K262">
        <v>5.85</v>
      </c>
      <c r="L262">
        <v>6.05</v>
      </c>
      <c r="M262">
        <f t="shared" si="4"/>
        <v>2.6</v>
      </c>
    </row>
    <row r="263" spans="1:13" x14ac:dyDescent="0.2">
      <c r="A263" t="s">
        <v>276</v>
      </c>
      <c r="B263">
        <v>19</v>
      </c>
      <c r="C263" t="s">
        <v>13</v>
      </c>
      <c r="D263">
        <v>5.3</v>
      </c>
      <c r="E263">
        <v>2.1</v>
      </c>
      <c r="F263">
        <v>4.7</v>
      </c>
      <c r="G263">
        <v>1.1000000000000001</v>
      </c>
      <c r="H263">
        <v>7.9</v>
      </c>
      <c r="I263">
        <v>90</v>
      </c>
      <c r="J263">
        <v>3</v>
      </c>
      <c r="K263">
        <v>8.85</v>
      </c>
      <c r="L263">
        <v>9.0500000000000007</v>
      </c>
      <c r="M263">
        <f t="shared" si="4"/>
        <v>7.7</v>
      </c>
    </row>
    <row r="264" spans="1:13" x14ac:dyDescent="0.2">
      <c r="A264" t="s">
        <v>277</v>
      </c>
      <c r="B264">
        <v>23</v>
      </c>
      <c r="C264" t="s">
        <v>17</v>
      </c>
      <c r="D264">
        <v>8.3000000000000007</v>
      </c>
      <c r="E264">
        <v>3.3</v>
      </c>
      <c r="F264">
        <v>1.7</v>
      </c>
      <c r="G264">
        <v>1.7</v>
      </c>
      <c r="H264">
        <v>5.3</v>
      </c>
      <c r="I264">
        <v>66</v>
      </c>
      <c r="J264">
        <v>2.2000000000000002</v>
      </c>
      <c r="K264">
        <v>6.4799999999999898</v>
      </c>
      <c r="L264">
        <v>6.68</v>
      </c>
      <c r="M264">
        <f t="shared" si="4"/>
        <v>3.9000000000000004</v>
      </c>
    </row>
    <row r="265" spans="1:13" x14ac:dyDescent="0.2">
      <c r="A265" t="s">
        <v>278</v>
      </c>
      <c r="B265">
        <v>23</v>
      </c>
      <c r="C265" t="s">
        <v>17</v>
      </c>
      <c r="D265">
        <v>9.1</v>
      </c>
      <c r="E265">
        <v>3.6</v>
      </c>
      <c r="F265">
        <v>0.9</v>
      </c>
      <c r="G265">
        <v>1.8</v>
      </c>
      <c r="H265">
        <v>5.4</v>
      </c>
      <c r="I265">
        <v>61</v>
      </c>
      <c r="J265">
        <v>2</v>
      </c>
      <c r="K265">
        <v>5.9399999999999897</v>
      </c>
      <c r="L265">
        <v>6.14</v>
      </c>
      <c r="M265">
        <f t="shared" si="4"/>
        <v>2.9</v>
      </c>
    </row>
    <row r="266" spans="1:13" x14ac:dyDescent="0.2">
      <c r="A266" t="s">
        <v>279</v>
      </c>
      <c r="B266">
        <v>25</v>
      </c>
      <c r="C266" t="s">
        <v>13</v>
      </c>
      <c r="D266">
        <v>8</v>
      </c>
      <c r="E266">
        <v>3.2</v>
      </c>
      <c r="F266">
        <v>2</v>
      </c>
      <c r="G266">
        <v>1.6</v>
      </c>
      <c r="H266">
        <v>6</v>
      </c>
      <c r="I266">
        <v>56</v>
      </c>
      <c r="J266">
        <v>1.9</v>
      </c>
      <c r="K266">
        <v>5.42</v>
      </c>
      <c r="L266">
        <v>5.62</v>
      </c>
      <c r="M266">
        <f t="shared" si="4"/>
        <v>3.9</v>
      </c>
    </row>
    <row r="267" spans="1:13" x14ac:dyDescent="0.2">
      <c r="A267" t="s">
        <v>280</v>
      </c>
      <c r="B267">
        <v>24</v>
      </c>
      <c r="C267" t="s">
        <v>13</v>
      </c>
      <c r="D267">
        <v>5.5</v>
      </c>
      <c r="E267">
        <v>2.2000000000000002</v>
      </c>
      <c r="F267">
        <v>4.5</v>
      </c>
      <c r="G267">
        <v>1.1000000000000001</v>
      </c>
      <c r="H267">
        <v>7.5</v>
      </c>
      <c r="I267">
        <v>91</v>
      </c>
      <c r="J267">
        <v>3</v>
      </c>
      <c r="K267">
        <v>8.91</v>
      </c>
      <c r="L267">
        <v>9.11</v>
      </c>
      <c r="M267">
        <f t="shared" si="4"/>
        <v>7.5</v>
      </c>
    </row>
    <row r="268" spans="1:13" x14ac:dyDescent="0.2">
      <c r="A268" t="s">
        <v>281</v>
      </c>
      <c r="B268">
        <v>22</v>
      </c>
      <c r="C268" t="s">
        <v>13</v>
      </c>
      <c r="D268">
        <v>9.8000000000000007</v>
      </c>
      <c r="E268">
        <v>3.9</v>
      </c>
      <c r="F268">
        <v>0.2</v>
      </c>
      <c r="G268">
        <v>2</v>
      </c>
      <c r="H268">
        <v>5.4</v>
      </c>
      <c r="I268">
        <v>60</v>
      </c>
      <c r="J268">
        <v>2</v>
      </c>
      <c r="K268">
        <v>5.89</v>
      </c>
      <c r="L268">
        <v>6.09</v>
      </c>
      <c r="M268">
        <f t="shared" si="4"/>
        <v>2.2000000000000002</v>
      </c>
    </row>
    <row r="269" spans="1:13" x14ac:dyDescent="0.2">
      <c r="A269" t="s">
        <v>282</v>
      </c>
      <c r="B269">
        <v>17</v>
      </c>
      <c r="C269" t="s">
        <v>17</v>
      </c>
      <c r="D269">
        <v>6</v>
      </c>
      <c r="E269">
        <v>2.4</v>
      </c>
      <c r="F269">
        <v>4</v>
      </c>
      <c r="G269">
        <v>1.2</v>
      </c>
      <c r="H269">
        <v>7</v>
      </c>
      <c r="I269">
        <v>73</v>
      </c>
      <c r="J269">
        <v>2.4</v>
      </c>
      <c r="K269">
        <v>7.14</v>
      </c>
      <c r="L269">
        <v>7.34</v>
      </c>
      <c r="M269">
        <f t="shared" si="4"/>
        <v>6.4</v>
      </c>
    </row>
    <row r="270" spans="1:13" x14ac:dyDescent="0.2">
      <c r="A270" t="s">
        <v>283</v>
      </c>
      <c r="B270">
        <v>20</v>
      </c>
      <c r="C270" t="s">
        <v>13</v>
      </c>
      <c r="D270">
        <v>5.5</v>
      </c>
      <c r="E270">
        <v>2.2000000000000002</v>
      </c>
      <c r="F270">
        <v>4.5</v>
      </c>
      <c r="G270">
        <v>1.1000000000000001</v>
      </c>
      <c r="H270">
        <v>8.1</v>
      </c>
      <c r="I270">
        <v>90</v>
      </c>
      <c r="J270">
        <v>3</v>
      </c>
      <c r="K270">
        <v>8.83</v>
      </c>
      <c r="L270">
        <v>9.0299999999999994</v>
      </c>
      <c r="M270">
        <f t="shared" si="4"/>
        <v>7.5</v>
      </c>
    </row>
    <row r="271" spans="1:13" x14ac:dyDescent="0.2">
      <c r="A271" t="s">
        <v>284</v>
      </c>
      <c r="B271">
        <v>17</v>
      </c>
      <c r="C271" t="s">
        <v>17</v>
      </c>
      <c r="D271">
        <v>4.2</v>
      </c>
      <c r="E271">
        <v>1.7</v>
      </c>
      <c r="F271">
        <v>5.8</v>
      </c>
      <c r="G271">
        <v>0.8</v>
      </c>
      <c r="H271">
        <v>8</v>
      </c>
      <c r="I271">
        <v>92</v>
      </c>
      <c r="J271">
        <v>3.1</v>
      </c>
      <c r="K271">
        <v>9.07</v>
      </c>
      <c r="L271">
        <v>9.27</v>
      </c>
      <c r="M271">
        <f t="shared" si="4"/>
        <v>8.9</v>
      </c>
    </row>
    <row r="272" spans="1:13" x14ac:dyDescent="0.2">
      <c r="A272" t="s">
        <v>285</v>
      </c>
      <c r="B272">
        <v>20</v>
      </c>
      <c r="C272" t="s">
        <v>13</v>
      </c>
      <c r="D272">
        <v>8.1999999999999993</v>
      </c>
      <c r="E272">
        <v>3.3</v>
      </c>
      <c r="F272">
        <v>1.8</v>
      </c>
      <c r="G272">
        <v>1.6</v>
      </c>
      <c r="H272">
        <v>6.3</v>
      </c>
      <c r="I272">
        <v>60</v>
      </c>
      <c r="J272">
        <v>2</v>
      </c>
      <c r="K272">
        <v>5.88</v>
      </c>
      <c r="L272">
        <v>6.08</v>
      </c>
      <c r="M272">
        <f t="shared" si="4"/>
        <v>3.8</v>
      </c>
    </row>
    <row r="273" spans="1:13" x14ac:dyDescent="0.2">
      <c r="A273" t="s">
        <v>286</v>
      </c>
      <c r="B273">
        <v>17</v>
      </c>
      <c r="C273" t="s">
        <v>17</v>
      </c>
      <c r="D273">
        <v>9.9</v>
      </c>
      <c r="E273">
        <v>4</v>
      </c>
      <c r="F273">
        <v>0.1</v>
      </c>
      <c r="G273">
        <v>2</v>
      </c>
      <c r="H273">
        <v>5.3</v>
      </c>
      <c r="I273">
        <v>56</v>
      </c>
      <c r="J273">
        <v>1.9</v>
      </c>
      <c r="K273">
        <v>5.46</v>
      </c>
      <c r="L273">
        <v>5.66</v>
      </c>
      <c r="M273">
        <f t="shared" si="4"/>
        <v>2</v>
      </c>
    </row>
    <row r="274" spans="1:13" x14ac:dyDescent="0.2">
      <c r="A274" t="s">
        <v>287</v>
      </c>
      <c r="B274">
        <v>17</v>
      </c>
      <c r="C274" t="s">
        <v>17</v>
      </c>
      <c r="D274">
        <v>5.3</v>
      </c>
      <c r="E274">
        <v>2.1</v>
      </c>
      <c r="F274">
        <v>4.7</v>
      </c>
      <c r="G274">
        <v>1.1000000000000001</v>
      </c>
      <c r="H274">
        <v>7.1</v>
      </c>
      <c r="I274">
        <v>81</v>
      </c>
      <c r="J274">
        <v>2.7</v>
      </c>
      <c r="K274">
        <v>7.96</v>
      </c>
      <c r="L274">
        <v>8.16</v>
      </c>
      <c r="M274">
        <f t="shared" si="4"/>
        <v>7.4</v>
      </c>
    </row>
    <row r="275" spans="1:13" x14ac:dyDescent="0.2">
      <c r="A275" t="s">
        <v>288</v>
      </c>
      <c r="B275">
        <v>18</v>
      </c>
      <c r="C275" t="s">
        <v>17</v>
      </c>
      <c r="D275">
        <v>4.2</v>
      </c>
      <c r="E275">
        <v>1.7</v>
      </c>
      <c r="F275">
        <v>5.8</v>
      </c>
      <c r="G275">
        <v>0.8</v>
      </c>
      <c r="H275">
        <v>8.5</v>
      </c>
      <c r="I275">
        <v>81</v>
      </c>
      <c r="J275">
        <v>2.7</v>
      </c>
      <c r="K275">
        <v>7.8999999999999897</v>
      </c>
      <c r="L275">
        <v>8.1</v>
      </c>
      <c r="M275">
        <f t="shared" si="4"/>
        <v>8.5</v>
      </c>
    </row>
    <row r="276" spans="1:13" x14ac:dyDescent="0.2">
      <c r="A276" t="s">
        <v>289</v>
      </c>
      <c r="B276">
        <v>23</v>
      </c>
      <c r="C276" t="s">
        <v>13</v>
      </c>
      <c r="D276">
        <v>7.8</v>
      </c>
      <c r="E276">
        <v>3.1</v>
      </c>
      <c r="F276">
        <v>2.2000000000000002</v>
      </c>
      <c r="G276">
        <v>1.6</v>
      </c>
      <c r="H276">
        <v>6.7</v>
      </c>
      <c r="I276">
        <v>78</v>
      </c>
      <c r="J276">
        <v>2.6</v>
      </c>
      <c r="K276">
        <v>7.64</v>
      </c>
      <c r="L276">
        <v>7.84</v>
      </c>
      <c r="M276">
        <f t="shared" si="4"/>
        <v>4.8000000000000007</v>
      </c>
    </row>
    <row r="277" spans="1:13" x14ac:dyDescent="0.2">
      <c r="A277" t="s">
        <v>290</v>
      </c>
      <c r="B277">
        <v>18</v>
      </c>
      <c r="C277" t="s">
        <v>13</v>
      </c>
      <c r="D277">
        <v>7.2</v>
      </c>
      <c r="E277">
        <v>2.9</v>
      </c>
      <c r="F277">
        <v>2.8</v>
      </c>
      <c r="G277">
        <v>1.4</v>
      </c>
      <c r="H277">
        <v>6.2</v>
      </c>
      <c r="I277">
        <v>69</v>
      </c>
      <c r="J277">
        <v>2.2999999999999998</v>
      </c>
      <c r="K277">
        <v>6.75</v>
      </c>
      <c r="L277">
        <v>6.95</v>
      </c>
      <c r="M277">
        <f t="shared" si="4"/>
        <v>5.0999999999999996</v>
      </c>
    </row>
    <row r="278" spans="1:13" x14ac:dyDescent="0.2">
      <c r="A278" t="s">
        <v>291</v>
      </c>
      <c r="B278">
        <v>24</v>
      </c>
      <c r="C278" t="s">
        <v>17</v>
      </c>
      <c r="D278">
        <v>8.4</v>
      </c>
      <c r="E278">
        <v>3.4</v>
      </c>
      <c r="F278">
        <v>1.6</v>
      </c>
      <c r="G278">
        <v>1.7</v>
      </c>
      <c r="H278">
        <v>5.3</v>
      </c>
      <c r="I278">
        <v>57</v>
      </c>
      <c r="J278">
        <v>1.9</v>
      </c>
      <c r="K278">
        <v>5.51</v>
      </c>
      <c r="L278">
        <v>5.71</v>
      </c>
      <c r="M278">
        <f t="shared" si="4"/>
        <v>3.5</v>
      </c>
    </row>
    <row r="279" spans="1:13" x14ac:dyDescent="0.2">
      <c r="A279" t="s">
        <v>292</v>
      </c>
      <c r="B279">
        <v>17</v>
      </c>
      <c r="C279" t="s">
        <v>17</v>
      </c>
      <c r="D279">
        <v>6.7</v>
      </c>
      <c r="E279">
        <v>2.7</v>
      </c>
      <c r="F279">
        <v>3.3</v>
      </c>
      <c r="G279">
        <v>1.3</v>
      </c>
      <c r="H279">
        <v>6.3</v>
      </c>
      <c r="I279">
        <v>78</v>
      </c>
      <c r="J279">
        <v>2.6</v>
      </c>
      <c r="K279">
        <v>7.64</v>
      </c>
      <c r="L279">
        <v>7.84</v>
      </c>
      <c r="M279">
        <f t="shared" si="4"/>
        <v>5.9</v>
      </c>
    </row>
    <row r="280" spans="1:13" x14ac:dyDescent="0.2">
      <c r="A280" t="s">
        <v>293</v>
      </c>
      <c r="B280">
        <v>17</v>
      </c>
      <c r="C280" t="s">
        <v>13</v>
      </c>
      <c r="D280">
        <v>9.9</v>
      </c>
      <c r="E280">
        <v>4</v>
      </c>
      <c r="F280">
        <v>0.1</v>
      </c>
      <c r="G280">
        <v>2</v>
      </c>
      <c r="H280">
        <v>5</v>
      </c>
      <c r="I280">
        <v>59</v>
      </c>
      <c r="J280">
        <v>2</v>
      </c>
      <c r="K280">
        <v>5.79</v>
      </c>
      <c r="L280">
        <v>5.99</v>
      </c>
      <c r="M280">
        <f t="shared" si="4"/>
        <v>2.1</v>
      </c>
    </row>
    <row r="281" spans="1:13" x14ac:dyDescent="0.2">
      <c r="A281" t="s">
        <v>294</v>
      </c>
      <c r="B281">
        <v>25</v>
      </c>
      <c r="C281" t="s">
        <v>13</v>
      </c>
      <c r="D281">
        <v>9.1999999999999993</v>
      </c>
      <c r="E281">
        <v>3.7</v>
      </c>
      <c r="F281">
        <v>0.8</v>
      </c>
      <c r="G281">
        <v>1.8</v>
      </c>
      <c r="H281">
        <v>5</v>
      </c>
      <c r="I281">
        <v>62</v>
      </c>
      <c r="J281">
        <v>2.1</v>
      </c>
      <c r="K281">
        <v>6.04</v>
      </c>
      <c r="L281">
        <v>6.24</v>
      </c>
      <c r="M281">
        <f t="shared" si="4"/>
        <v>2.9000000000000004</v>
      </c>
    </row>
    <row r="282" spans="1:13" x14ac:dyDescent="0.2">
      <c r="A282" t="s">
        <v>295</v>
      </c>
      <c r="B282">
        <v>21</v>
      </c>
      <c r="C282" t="s">
        <v>17</v>
      </c>
      <c r="D282">
        <v>9.5</v>
      </c>
      <c r="E282">
        <v>3.8</v>
      </c>
      <c r="F282">
        <v>0.5</v>
      </c>
      <c r="G282">
        <v>1.9</v>
      </c>
      <c r="H282">
        <v>6.4</v>
      </c>
      <c r="I282">
        <v>62</v>
      </c>
      <c r="J282">
        <v>2.1</v>
      </c>
      <c r="K282">
        <v>6.08</v>
      </c>
      <c r="L282">
        <v>6.28</v>
      </c>
      <c r="M282">
        <f t="shared" si="4"/>
        <v>2.6</v>
      </c>
    </row>
    <row r="283" spans="1:13" x14ac:dyDescent="0.2">
      <c r="A283" t="s">
        <v>296</v>
      </c>
      <c r="B283">
        <v>25</v>
      </c>
      <c r="C283" t="s">
        <v>17</v>
      </c>
      <c r="D283">
        <v>4.5999999999999996</v>
      </c>
      <c r="E283">
        <v>1.8</v>
      </c>
      <c r="F283">
        <v>5.4</v>
      </c>
      <c r="G283">
        <v>0.9</v>
      </c>
      <c r="H283">
        <v>8.5</v>
      </c>
      <c r="I283">
        <v>91</v>
      </c>
      <c r="J283">
        <v>3</v>
      </c>
      <c r="K283">
        <v>8.92</v>
      </c>
      <c r="L283">
        <v>9.1199999999999992</v>
      </c>
      <c r="M283">
        <f t="shared" si="4"/>
        <v>8.4</v>
      </c>
    </row>
    <row r="284" spans="1:13" x14ac:dyDescent="0.2">
      <c r="A284" t="s">
        <v>297</v>
      </c>
      <c r="B284">
        <v>20</v>
      </c>
      <c r="C284" t="s">
        <v>13</v>
      </c>
      <c r="D284">
        <v>6.4</v>
      </c>
      <c r="E284">
        <v>2.6</v>
      </c>
      <c r="F284">
        <v>3.6</v>
      </c>
      <c r="G284">
        <v>1.3</v>
      </c>
      <c r="H284">
        <v>7.2</v>
      </c>
      <c r="I284">
        <v>78</v>
      </c>
      <c r="J284">
        <v>2.6</v>
      </c>
      <c r="K284">
        <v>7.64</v>
      </c>
      <c r="L284">
        <v>7.84</v>
      </c>
      <c r="M284">
        <f t="shared" si="4"/>
        <v>6.2</v>
      </c>
    </row>
    <row r="285" spans="1:13" x14ac:dyDescent="0.2">
      <c r="A285" t="s">
        <v>298</v>
      </c>
      <c r="B285">
        <v>18</v>
      </c>
      <c r="C285" t="s">
        <v>13</v>
      </c>
      <c r="D285">
        <v>6.4</v>
      </c>
      <c r="E285">
        <v>2.6</v>
      </c>
      <c r="F285">
        <v>3.6</v>
      </c>
      <c r="G285">
        <v>1.3</v>
      </c>
      <c r="H285">
        <v>7</v>
      </c>
      <c r="I285">
        <v>71</v>
      </c>
      <c r="J285">
        <v>2.4</v>
      </c>
      <c r="K285">
        <v>6.99</v>
      </c>
      <c r="L285">
        <v>7.19</v>
      </c>
      <c r="M285">
        <f t="shared" si="4"/>
        <v>6</v>
      </c>
    </row>
    <row r="286" spans="1:13" x14ac:dyDescent="0.2">
      <c r="A286" t="s">
        <v>299</v>
      </c>
      <c r="B286">
        <v>24</v>
      </c>
      <c r="C286" t="s">
        <v>13</v>
      </c>
      <c r="D286">
        <v>9.3000000000000007</v>
      </c>
      <c r="E286">
        <v>3.7</v>
      </c>
      <c r="F286">
        <v>0.7</v>
      </c>
      <c r="G286">
        <v>1.9</v>
      </c>
      <c r="H286">
        <v>6.3</v>
      </c>
      <c r="I286">
        <v>59</v>
      </c>
      <c r="J286">
        <v>2</v>
      </c>
      <c r="K286">
        <v>5.71</v>
      </c>
      <c r="L286">
        <v>5.91</v>
      </c>
      <c r="M286">
        <f t="shared" si="4"/>
        <v>2.7</v>
      </c>
    </row>
    <row r="287" spans="1:13" x14ac:dyDescent="0.2">
      <c r="A287" t="s">
        <v>300</v>
      </c>
      <c r="B287">
        <v>23</v>
      </c>
      <c r="C287" t="s">
        <v>17</v>
      </c>
      <c r="D287">
        <v>7.3</v>
      </c>
      <c r="E287">
        <v>2.9</v>
      </c>
      <c r="F287">
        <v>2.7</v>
      </c>
      <c r="G287">
        <v>1.5</v>
      </c>
      <c r="H287">
        <v>6.5</v>
      </c>
      <c r="I287">
        <v>68</v>
      </c>
      <c r="J287">
        <v>2.2999999999999998</v>
      </c>
      <c r="K287">
        <v>6.6099999999999897</v>
      </c>
      <c r="L287">
        <v>6.81</v>
      </c>
      <c r="M287">
        <f t="shared" si="4"/>
        <v>5</v>
      </c>
    </row>
    <row r="288" spans="1:13" x14ac:dyDescent="0.2">
      <c r="A288" t="s">
        <v>301</v>
      </c>
      <c r="B288">
        <v>17</v>
      </c>
      <c r="C288" t="s">
        <v>17</v>
      </c>
      <c r="D288">
        <v>8.1999999999999993</v>
      </c>
      <c r="E288">
        <v>3.3</v>
      </c>
      <c r="F288">
        <v>1.8</v>
      </c>
      <c r="G288">
        <v>1.6</v>
      </c>
      <c r="H288">
        <v>5.7</v>
      </c>
      <c r="I288">
        <v>60</v>
      </c>
      <c r="J288">
        <v>2</v>
      </c>
      <c r="K288">
        <v>5.81</v>
      </c>
      <c r="L288">
        <v>6.01</v>
      </c>
      <c r="M288">
        <f t="shared" si="4"/>
        <v>3.8</v>
      </c>
    </row>
    <row r="289" spans="1:13" x14ac:dyDescent="0.2">
      <c r="A289" t="s">
        <v>302</v>
      </c>
      <c r="B289">
        <v>18</v>
      </c>
      <c r="C289" t="s">
        <v>13</v>
      </c>
      <c r="D289">
        <v>5.4</v>
      </c>
      <c r="E289">
        <v>2.2000000000000002</v>
      </c>
      <c r="F289">
        <v>4.5999999999999996</v>
      </c>
      <c r="G289">
        <v>1.1000000000000001</v>
      </c>
      <c r="H289">
        <v>7.9</v>
      </c>
      <c r="I289">
        <v>79</v>
      </c>
      <c r="J289">
        <v>2.6</v>
      </c>
      <c r="K289">
        <v>7.75</v>
      </c>
      <c r="L289">
        <v>7.95</v>
      </c>
      <c r="M289">
        <f t="shared" si="4"/>
        <v>7.1999999999999993</v>
      </c>
    </row>
    <row r="290" spans="1:13" x14ac:dyDescent="0.2">
      <c r="A290" t="s">
        <v>303</v>
      </c>
      <c r="B290">
        <v>22</v>
      </c>
      <c r="C290" t="s">
        <v>13</v>
      </c>
      <c r="D290">
        <v>7</v>
      </c>
      <c r="E290">
        <v>2.8</v>
      </c>
      <c r="F290">
        <v>3</v>
      </c>
      <c r="G290">
        <v>1.4</v>
      </c>
      <c r="H290">
        <v>7.4</v>
      </c>
      <c r="I290">
        <v>74</v>
      </c>
      <c r="J290">
        <v>2.5</v>
      </c>
      <c r="K290">
        <v>7.25</v>
      </c>
      <c r="L290">
        <v>7.45</v>
      </c>
      <c r="M290">
        <f t="shared" si="4"/>
        <v>5.5</v>
      </c>
    </row>
    <row r="291" spans="1:13" x14ac:dyDescent="0.2">
      <c r="A291" t="s">
        <v>304</v>
      </c>
      <c r="B291">
        <v>21</v>
      </c>
      <c r="C291" t="s">
        <v>17</v>
      </c>
      <c r="D291">
        <v>4.2</v>
      </c>
      <c r="E291">
        <v>1.7</v>
      </c>
      <c r="F291">
        <v>5.8</v>
      </c>
      <c r="G291">
        <v>0.8</v>
      </c>
      <c r="H291">
        <v>7.6</v>
      </c>
      <c r="I291">
        <v>84</v>
      </c>
      <c r="J291">
        <v>2.8</v>
      </c>
      <c r="K291">
        <v>8.2799999999999994</v>
      </c>
      <c r="L291">
        <v>8.48</v>
      </c>
      <c r="M291">
        <f t="shared" si="4"/>
        <v>8.6</v>
      </c>
    </row>
    <row r="292" spans="1:13" x14ac:dyDescent="0.2">
      <c r="A292" t="s">
        <v>305</v>
      </c>
      <c r="B292">
        <v>18</v>
      </c>
      <c r="C292" t="s">
        <v>13</v>
      </c>
      <c r="D292">
        <v>7.2</v>
      </c>
      <c r="E292">
        <v>2.9</v>
      </c>
      <c r="F292">
        <v>2.8</v>
      </c>
      <c r="G292">
        <v>1.4</v>
      </c>
      <c r="H292">
        <v>7.1</v>
      </c>
      <c r="I292">
        <v>75</v>
      </c>
      <c r="J292">
        <v>2.5</v>
      </c>
      <c r="K292">
        <v>7.33</v>
      </c>
      <c r="L292">
        <v>7.53</v>
      </c>
      <c r="M292">
        <f t="shared" si="4"/>
        <v>5.3</v>
      </c>
    </row>
    <row r="293" spans="1:13" x14ac:dyDescent="0.2">
      <c r="A293" t="s">
        <v>306</v>
      </c>
      <c r="B293">
        <v>21</v>
      </c>
      <c r="C293" t="s">
        <v>13</v>
      </c>
      <c r="D293">
        <v>9.6999999999999993</v>
      </c>
      <c r="E293">
        <v>3.9</v>
      </c>
      <c r="F293">
        <v>0.3</v>
      </c>
      <c r="G293">
        <v>1.9</v>
      </c>
      <c r="H293">
        <v>5.3</v>
      </c>
      <c r="I293">
        <v>55</v>
      </c>
      <c r="J293">
        <v>1.8</v>
      </c>
      <c r="K293">
        <v>5.3199999999999896</v>
      </c>
      <c r="L293">
        <v>5.52</v>
      </c>
      <c r="M293">
        <f t="shared" si="4"/>
        <v>2.1</v>
      </c>
    </row>
    <row r="294" spans="1:13" x14ac:dyDescent="0.2">
      <c r="A294" t="s">
        <v>307</v>
      </c>
      <c r="B294">
        <v>21</v>
      </c>
      <c r="C294" t="s">
        <v>17</v>
      </c>
      <c r="D294">
        <v>9.6999999999999993</v>
      </c>
      <c r="E294">
        <v>3.9</v>
      </c>
      <c r="F294">
        <v>0.3</v>
      </c>
      <c r="G294">
        <v>1.9</v>
      </c>
      <c r="H294">
        <v>5.6</v>
      </c>
      <c r="I294">
        <v>63</v>
      </c>
      <c r="J294">
        <v>2.1</v>
      </c>
      <c r="K294">
        <v>6.1499999999999897</v>
      </c>
      <c r="L294">
        <v>6.35</v>
      </c>
      <c r="M294">
        <f t="shared" si="4"/>
        <v>2.4</v>
      </c>
    </row>
    <row r="295" spans="1:13" x14ac:dyDescent="0.2">
      <c r="A295" t="s">
        <v>308</v>
      </c>
      <c r="B295">
        <v>20</v>
      </c>
      <c r="C295" t="s">
        <v>13</v>
      </c>
      <c r="D295">
        <v>6.1</v>
      </c>
      <c r="E295">
        <v>2.4</v>
      </c>
      <c r="F295">
        <v>3.9</v>
      </c>
      <c r="G295">
        <v>1.2</v>
      </c>
      <c r="H295">
        <v>6.7</v>
      </c>
      <c r="I295">
        <v>69</v>
      </c>
      <c r="J295">
        <v>2.2999999999999998</v>
      </c>
      <c r="K295">
        <v>6.72</v>
      </c>
      <c r="L295">
        <v>6.92</v>
      </c>
      <c r="M295">
        <f t="shared" si="4"/>
        <v>6.1999999999999993</v>
      </c>
    </row>
    <row r="296" spans="1:13" x14ac:dyDescent="0.2">
      <c r="A296" t="s">
        <v>309</v>
      </c>
      <c r="B296">
        <v>20</v>
      </c>
      <c r="C296" t="s">
        <v>13</v>
      </c>
      <c r="D296">
        <v>5.8</v>
      </c>
      <c r="E296">
        <v>2.2999999999999998</v>
      </c>
      <c r="F296">
        <v>4.2</v>
      </c>
      <c r="G296">
        <v>1.2</v>
      </c>
      <c r="H296">
        <v>7.8</v>
      </c>
      <c r="I296">
        <v>94</v>
      </c>
      <c r="J296">
        <v>3.1</v>
      </c>
      <c r="K296">
        <v>9.2100000000000009</v>
      </c>
      <c r="L296">
        <v>9.41</v>
      </c>
      <c r="M296">
        <f t="shared" si="4"/>
        <v>7.3000000000000007</v>
      </c>
    </row>
    <row r="297" spans="1:13" x14ac:dyDescent="0.2">
      <c r="A297" t="s">
        <v>310</v>
      </c>
      <c r="B297">
        <v>23</v>
      </c>
      <c r="C297" t="s">
        <v>17</v>
      </c>
      <c r="D297">
        <v>8.3000000000000007</v>
      </c>
      <c r="E297">
        <v>3.3</v>
      </c>
      <c r="F297">
        <v>1.7</v>
      </c>
      <c r="G297">
        <v>1.7</v>
      </c>
      <c r="H297">
        <v>5.6</v>
      </c>
      <c r="I297">
        <v>58</v>
      </c>
      <c r="J297">
        <v>2</v>
      </c>
      <c r="K297">
        <v>5.6499999999999897</v>
      </c>
      <c r="L297">
        <v>5.85</v>
      </c>
      <c r="M297">
        <f t="shared" si="4"/>
        <v>3.7</v>
      </c>
    </row>
    <row r="298" spans="1:13" x14ac:dyDescent="0.2">
      <c r="A298" t="s">
        <v>311</v>
      </c>
      <c r="B298">
        <v>17</v>
      </c>
      <c r="C298" t="s">
        <v>13</v>
      </c>
      <c r="D298">
        <v>9.1999999999999993</v>
      </c>
      <c r="E298">
        <v>3.7</v>
      </c>
      <c r="F298">
        <v>0.8</v>
      </c>
      <c r="G298">
        <v>1.8</v>
      </c>
      <c r="H298">
        <v>5.3</v>
      </c>
      <c r="I298">
        <v>65</v>
      </c>
      <c r="J298">
        <v>2.2000000000000002</v>
      </c>
      <c r="K298">
        <v>6.34</v>
      </c>
      <c r="L298">
        <v>6.54</v>
      </c>
      <c r="M298">
        <f t="shared" si="4"/>
        <v>3</v>
      </c>
    </row>
    <row r="299" spans="1:13" x14ac:dyDescent="0.2">
      <c r="A299" t="s">
        <v>312</v>
      </c>
      <c r="B299">
        <v>23</v>
      </c>
      <c r="C299" t="s">
        <v>13</v>
      </c>
      <c r="D299">
        <v>5.0999999999999996</v>
      </c>
      <c r="E299">
        <v>2</v>
      </c>
      <c r="F299">
        <v>4.9000000000000004</v>
      </c>
      <c r="G299">
        <v>1</v>
      </c>
      <c r="H299">
        <v>7.6</v>
      </c>
      <c r="I299">
        <v>96</v>
      </c>
      <c r="J299">
        <v>3.2</v>
      </c>
      <c r="K299">
        <v>9.44</v>
      </c>
      <c r="L299">
        <v>9.64</v>
      </c>
      <c r="M299">
        <f t="shared" si="4"/>
        <v>8.1000000000000014</v>
      </c>
    </row>
    <row r="300" spans="1:13" x14ac:dyDescent="0.2">
      <c r="A300" t="s">
        <v>313</v>
      </c>
      <c r="B300">
        <v>22</v>
      </c>
      <c r="C300" t="s">
        <v>13</v>
      </c>
      <c r="D300">
        <v>7.3</v>
      </c>
      <c r="E300">
        <v>2.9</v>
      </c>
      <c r="F300">
        <v>2.7</v>
      </c>
      <c r="G300">
        <v>1.5</v>
      </c>
      <c r="H300">
        <v>6.9</v>
      </c>
      <c r="I300">
        <v>68</v>
      </c>
      <c r="J300">
        <v>2.2999999999999998</v>
      </c>
      <c r="K300">
        <v>6.6499999999999897</v>
      </c>
      <c r="L300">
        <v>6.85</v>
      </c>
      <c r="M300">
        <f t="shared" si="4"/>
        <v>5</v>
      </c>
    </row>
    <row r="301" spans="1:13" x14ac:dyDescent="0.2">
      <c r="A301" t="s">
        <v>314</v>
      </c>
      <c r="B301">
        <v>24</v>
      </c>
      <c r="C301" t="s">
        <v>13</v>
      </c>
      <c r="D301">
        <v>7.1</v>
      </c>
      <c r="E301">
        <v>2.8</v>
      </c>
      <c r="F301">
        <v>2.9</v>
      </c>
      <c r="G301">
        <v>1.4</v>
      </c>
      <c r="H301">
        <v>7.2</v>
      </c>
      <c r="I301">
        <v>75</v>
      </c>
      <c r="J301">
        <v>2.5</v>
      </c>
      <c r="K301">
        <v>7.31</v>
      </c>
      <c r="L301">
        <v>7.51</v>
      </c>
      <c r="M301">
        <f t="shared" si="4"/>
        <v>5.4</v>
      </c>
    </row>
    <row r="302" spans="1:13" x14ac:dyDescent="0.2">
      <c r="A302" t="s">
        <v>315</v>
      </c>
      <c r="B302">
        <v>21</v>
      </c>
      <c r="C302" t="s">
        <v>13</v>
      </c>
      <c r="D302">
        <v>6.2</v>
      </c>
      <c r="E302">
        <v>2.5</v>
      </c>
      <c r="F302">
        <v>3.8</v>
      </c>
      <c r="G302">
        <v>1.2</v>
      </c>
      <c r="H302">
        <v>7.2</v>
      </c>
      <c r="I302">
        <v>78</v>
      </c>
      <c r="J302">
        <v>2.6</v>
      </c>
      <c r="K302">
        <v>7.6899999999999897</v>
      </c>
      <c r="L302">
        <v>7.89</v>
      </c>
      <c r="M302">
        <f t="shared" si="4"/>
        <v>6.4</v>
      </c>
    </row>
    <row r="303" spans="1:13" x14ac:dyDescent="0.2">
      <c r="A303" t="s">
        <v>316</v>
      </c>
      <c r="B303">
        <v>25</v>
      </c>
      <c r="C303" t="s">
        <v>13</v>
      </c>
      <c r="D303">
        <v>5.6</v>
      </c>
      <c r="E303">
        <v>2.2000000000000002</v>
      </c>
      <c r="F303">
        <v>4.4000000000000004</v>
      </c>
      <c r="G303">
        <v>1.1000000000000001</v>
      </c>
      <c r="H303">
        <v>7.6</v>
      </c>
      <c r="I303">
        <v>94</v>
      </c>
      <c r="J303">
        <v>3.2</v>
      </c>
      <c r="K303">
        <v>9.25</v>
      </c>
      <c r="L303">
        <v>9.4499999999999993</v>
      </c>
      <c r="M303">
        <f t="shared" si="4"/>
        <v>7.6000000000000005</v>
      </c>
    </row>
    <row r="304" spans="1:13" x14ac:dyDescent="0.2">
      <c r="A304" t="s">
        <v>317</v>
      </c>
      <c r="B304">
        <v>17</v>
      </c>
      <c r="C304" t="s">
        <v>17</v>
      </c>
      <c r="D304">
        <v>8.6</v>
      </c>
      <c r="E304">
        <v>3.4</v>
      </c>
      <c r="F304">
        <v>1.4</v>
      </c>
      <c r="G304">
        <v>1.7</v>
      </c>
      <c r="H304">
        <v>5.6</v>
      </c>
      <c r="I304">
        <v>56</v>
      </c>
      <c r="J304">
        <v>1.9</v>
      </c>
      <c r="K304">
        <v>5.49</v>
      </c>
      <c r="L304">
        <v>5.69</v>
      </c>
      <c r="M304">
        <f t="shared" si="4"/>
        <v>3.3</v>
      </c>
    </row>
    <row r="305" spans="1:13" x14ac:dyDescent="0.2">
      <c r="A305" t="s">
        <v>318</v>
      </c>
      <c r="B305">
        <v>21</v>
      </c>
      <c r="C305" t="s">
        <v>17</v>
      </c>
      <c r="D305">
        <v>9.1999999999999993</v>
      </c>
      <c r="E305">
        <v>3.7</v>
      </c>
      <c r="F305">
        <v>0.8</v>
      </c>
      <c r="G305">
        <v>1.8</v>
      </c>
      <c r="H305">
        <v>5.8</v>
      </c>
      <c r="I305">
        <v>61</v>
      </c>
      <c r="J305">
        <v>2</v>
      </c>
      <c r="K305">
        <v>5.91</v>
      </c>
      <c r="L305">
        <v>6.11</v>
      </c>
      <c r="M305">
        <f t="shared" si="4"/>
        <v>2.8</v>
      </c>
    </row>
    <row r="306" spans="1:13" x14ac:dyDescent="0.2">
      <c r="A306" t="s">
        <v>319</v>
      </c>
      <c r="B306">
        <v>25</v>
      </c>
      <c r="C306" t="s">
        <v>13</v>
      </c>
      <c r="D306">
        <v>5.4</v>
      </c>
      <c r="E306">
        <v>2.2000000000000002</v>
      </c>
      <c r="F306">
        <v>4.5999999999999996</v>
      </c>
      <c r="G306">
        <v>1.1000000000000001</v>
      </c>
      <c r="H306">
        <v>8</v>
      </c>
      <c r="I306">
        <v>82</v>
      </c>
      <c r="J306">
        <v>2.7</v>
      </c>
      <c r="K306">
        <v>8.01</v>
      </c>
      <c r="L306">
        <v>8.2100000000000009</v>
      </c>
      <c r="M306">
        <f t="shared" si="4"/>
        <v>7.3</v>
      </c>
    </row>
    <row r="307" spans="1:13" x14ac:dyDescent="0.2">
      <c r="A307" t="s">
        <v>320</v>
      </c>
      <c r="B307">
        <v>19</v>
      </c>
      <c r="C307" t="s">
        <v>13</v>
      </c>
      <c r="D307">
        <v>4.9000000000000004</v>
      </c>
      <c r="E307">
        <v>2</v>
      </c>
      <c r="F307">
        <v>5.0999999999999996</v>
      </c>
      <c r="G307">
        <v>1</v>
      </c>
      <c r="H307">
        <v>7.9</v>
      </c>
      <c r="I307">
        <v>83</v>
      </c>
      <c r="J307">
        <v>2.8</v>
      </c>
      <c r="K307">
        <v>8.15</v>
      </c>
      <c r="L307">
        <v>8.35</v>
      </c>
      <c r="M307">
        <f t="shared" si="4"/>
        <v>7.8999999999999995</v>
      </c>
    </row>
    <row r="308" spans="1:13" x14ac:dyDescent="0.2">
      <c r="A308" t="s">
        <v>321</v>
      </c>
      <c r="B308">
        <v>24</v>
      </c>
      <c r="C308" t="s">
        <v>13</v>
      </c>
      <c r="D308">
        <v>6.6</v>
      </c>
      <c r="E308">
        <v>2.6</v>
      </c>
      <c r="F308">
        <v>3.4</v>
      </c>
      <c r="G308">
        <v>1.3</v>
      </c>
      <c r="H308">
        <v>7</v>
      </c>
      <c r="I308">
        <v>76</v>
      </c>
      <c r="J308">
        <v>2.6</v>
      </c>
      <c r="K308">
        <v>7.46</v>
      </c>
      <c r="L308">
        <v>7.66</v>
      </c>
      <c r="M308">
        <f t="shared" si="4"/>
        <v>6</v>
      </c>
    </row>
    <row r="309" spans="1:13" x14ac:dyDescent="0.2">
      <c r="A309" t="s">
        <v>322</v>
      </c>
      <c r="B309">
        <v>20</v>
      </c>
      <c r="C309" t="s">
        <v>13</v>
      </c>
      <c r="D309">
        <v>8.9</v>
      </c>
      <c r="E309">
        <v>3.6</v>
      </c>
      <c r="F309">
        <v>1.1000000000000001</v>
      </c>
      <c r="G309">
        <v>1.8</v>
      </c>
      <c r="H309">
        <v>5.5</v>
      </c>
      <c r="I309">
        <v>62</v>
      </c>
      <c r="J309">
        <v>2.1</v>
      </c>
      <c r="K309">
        <v>6.08</v>
      </c>
      <c r="L309">
        <v>6.28</v>
      </c>
      <c r="M309">
        <f t="shared" si="4"/>
        <v>3.2</v>
      </c>
    </row>
    <row r="310" spans="1:13" x14ac:dyDescent="0.2">
      <c r="A310" t="s">
        <v>323</v>
      </c>
      <c r="B310">
        <v>22</v>
      </c>
      <c r="C310" t="s">
        <v>17</v>
      </c>
      <c r="D310">
        <v>7.9</v>
      </c>
      <c r="E310">
        <v>3.2</v>
      </c>
      <c r="F310">
        <v>2.1</v>
      </c>
      <c r="G310">
        <v>1.6</v>
      </c>
      <c r="H310">
        <v>6.6</v>
      </c>
      <c r="I310">
        <v>75</v>
      </c>
      <c r="J310">
        <v>2.5</v>
      </c>
      <c r="K310">
        <v>7.31</v>
      </c>
      <c r="L310">
        <v>7.51</v>
      </c>
      <c r="M310">
        <f t="shared" si="4"/>
        <v>4.5999999999999996</v>
      </c>
    </row>
    <row r="311" spans="1:13" x14ac:dyDescent="0.2">
      <c r="A311" t="s">
        <v>324</v>
      </c>
      <c r="B311">
        <v>21</v>
      </c>
      <c r="C311" t="s">
        <v>13</v>
      </c>
      <c r="D311">
        <v>7.7</v>
      </c>
      <c r="E311">
        <v>3.1</v>
      </c>
      <c r="F311">
        <v>2.2999999999999998</v>
      </c>
      <c r="G311">
        <v>1.5</v>
      </c>
      <c r="H311">
        <v>7.2</v>
      </c>
      <c r="I311">
        <v>73</v>
      </c>
      <c r="J311">
        <v>2.4</v>
      </c>
      <c r="K311">
        <v>7.13</v>
      </c>
      <c r="L311">
        <v>7.33</v>
      </c>
      <c r="M311">
        <f t="shared" si="4"/>
        <v>4.6999999999999993</v>
      </c>
    </row>
    <row r="312" spans="1:13" x14ac:dyDescent="0.2">
      <c r="A312" t="s">
        <v>325</v>
      </c>
      <c r="B312">
        <v>19</v>
      </c>
      <c r="C312" t="s">
        <v>13</v>
      </c>
      <c r="D312">
        <v>9.3000000000000007</v>
      </c>
      <c r="E312">
        <v>3.7</v>
      </c>
      <c r="F312">
        <v>0.7</v>
      </c>
      <c r="G312">
        <v>1.9</v>
      </c>
      <c r="H312">
        <v>5.8</v>
      </c>
      <c r="I312">
        <v>63</v>
      </c>
      <c r="J312">
        <v>2.1</v>
      </c>
      <c r="K312">
        <v>6.1499999999999897</v>
      </c>
      <c r="L312">
        <v>6.35</v>
      </c>
      <c r="M312">
        <f t="shared" si="4"/>
        <v>2.8</v>
      </c>
    </row>
    <row r="313" spans="1:13" x14ac:dyDescent="0.2">
      <c r="A313" t="s">
        <v>326</v>
      </c>
      <c r="B313">
        <v>19</v>
      </c>
      <c r="C313" t="s">
        <v>13</v>
      </c>
      <c r="D313">
        <v>8</v>
      </c>
      <c r="E313">
        <v>3.2</v>
      </c>
      <c r="F313">
        <v>2</v>
      </c>
      <c r="G313">
        <v>1.6</v>
      </c>
      <c r="H313">
        <v>6</v>
      </c>
      <c r="I313">
        <v>67</v>
      </c>
      <c r="J313">
        <v>2.2999999999999998</v>
      </c>
      <c r="K313">
        <v>6.59</v>
      </c>
      <c r="L313">
        <v>6.79</v>
      </c>
      <c r="M313">
        <f t="shared" si="4"/>
        <v>4.3</v>
      </c>
    </row>
    <row r="314" spans="1:13" x14ac:dyDescent="0.2">
      <c r="A314" t="s">
        <v>327</v>
      </c>
      <c r="B314">
        <v>20</v>
      </c>
      <c r="C314" t="s">
        <v>17</v>
      </c>
      <c r="D314">
        <v>6.7</v>
      </c>
      <c r="E314">
        <v>2.7</v>
      </c>
      <c r="F314">
        <v>3.3</v>
      </c>
      <c r="G314">
        <v>1.3</v>
      </c>
      <c r="H314">
        <v>6.9</v>
      </c>
      <c r="I314">
        <v>72</v>
      </c>
      <c r="J314">
        <v>2.4</v>
      </c>
      <c r="K314">
        <v>7</v>
      </c>
      <c r="L314">
        <v>7.2</v>
      </c>
      <c r="M314">
        <f t="shared" si="4"/>
        <v>5.6999999999999993</v>
      </c>
    </row>
    <row r="315" spans="1:13" x14ac:dyDescent="0.2">
      <c r="A315" t="s">
        <v>328</v>
      </c>
      <c r="B315">
        <v>25</v>
      </c>
      <c r="C315" t="s">
        <v>17</v>
      </c>
      <c r="D315">
        <v>5.0999999999999996</v>
      </c>
      <c r="E315">
        <v>2</v>
      </c>
      <c r="F315">
        <v>4.9000000000000004</v>
      </c>
      <c r="G315">
        <v>1</v>
      </c>
      <c r="H315">
        <v>7.3</v>
      </c>
      <c r="I315">
        <v>91</v>
      </c>
      <c r="J315">
        <v>3.1</v>
      </c>
      <c r="K315">
        <v>8.98</v>
      </c>
      <c r="L315">
        <v>9.18</v>
      </c>
      <c r="M315">
        <f t="shared" si="4"/>
        <v>8</v>
      </c>
    </row>
    <row r="316" spans="1:13" x14ac:dyDescent="0.2">
      <c r="A316" t="s">
        <v>329</v>
      </c>
      <c r="B316">
        <v>19</v>
      </c>
      <c r="C316" t="s">
        <v>13</v>
      </c>
      <c r="D316">
        <v>8.5</v>
      </c>
      <c r="E316">
        <v>3.4</v>
      </c>
      <c r="F316">
        <v>1.5</v>
      </c>
      <c r="G316">
        <v>1.7</v>
      </c>
      <c r="H316">
        <v>6</v>
      </c>
      <c r="I316">
        <v>59</v>
      </c>
      <c r="J316">
        <v>2</v>
      </c>
      <c r="K316">
        <v>5.75</v>
      </c>
      <c r="L316">
        <v>5.95</v>
      </c>
      <c r="M316">
        <f t="shared" si="4"/>
        <v>3.5</v>
      </c>
    </row>
    <row r="317" spans="1:13" x14ac:dyDescent="0.2">
      <c r="A317" t="s">
        <v>330</v>
      </c>
      <c r="B317">
        <v>21</v>
      </c>
      <c r="C317" t="s">
        <v>13</v>
      </c>
      <c r="D317">
        <v>6.3</v>
      </c>
      <c r="E317">
        <v>2.5</v>
      </c>
      <c r="F317">
        <v>3.7</v>
      </c>
      <c r="G317">
        <v>1.3</v>
      </c>
      <c r="H317">
        <v>7.5</v>
      </c>
      <c r="I317">
        <v>69</v>
      </c>
      <c r="J317">
        <v>2.2999999999999998</v>
      </c>
      <c r="K317">
        <v>6.74</v>
      </c>
      <c r="L317">
        <v>6.94</v>
      </c>
      <c r="M317">
        <f t="shared" si="4"/>
        <v>6</v>
      </c>
    </row>
    <row r="318" spans="1:13" x14ac:dyDescent="0.2">
      <c r="A318" t="s">
        <v>331</v>
      </c>
      <c r="B318">
        <v>20</v>
      </c>
      <c r="C318" t="s">
        <v>13</v>
      </c>
      <c r="D318">
        <v>9.6</v>
      </c>
      <c r="E318">
        <v>3.8</v>
      </c>
      <c r="F318">
        <v>0.4</v>
      </c>
      <c r="G318">
        <v>1.9</v>
      </c>
      <c r="H318">
        <v>6.3</v>
      </c>
      <c r="I318">
        <v>62</v>
      </c>
      <c r="J318">
        <v>2.1</v>
      </c>
      <c r="K318">
        <v>6</v>
      </c>
      <c r="L318">
        <v>6.2</v>
      </c>
      <c r="M318">
        <f t="shared" si="4"/>
        <v>2.5</v>
      </c>
    </row>
    <row r="319" spans="1:13" x14ac:dyDescent="0.2">
      <c r="A319" t="s">
        <v>332</v>
      </c>
      <c r="B319">
        <v>22</v>
      </c>
      <c r="C319" t="s">
        <v>13</v>
      </c>
      <c r="D319">
        <v>5.5</v>
      </c>
      <c r="E319">
        <v>2.2000000000000002</v>
      </c>
      <c r="F319">
        <v>4.5</v>
      </c>
      <c r="G319">
        <v>1.1000000000000001</v>
      </c>
      <c r="H319">
        <v>8.3000000000000007</v>
      </c>
      <c r="I319">
        <v>93</v>
      </c>
      <c r="J319">
        <v>3.1</v>
      </c>
      <c r="K319">
        <v>9.18</v>
      </c>
      <c r="L319">
        <v>9.3800000000000008</v>
      </c>
      <c r="M319">
        <f t="shared" si="4"/>
        <v>7.6</v>
      </c>
    </row>
    <row r="320" spans="1:13" x14ac:dyDescent="0.2">
      <c r="A320" t="s">
        <v>333</v>
      </c>
      <c r="B320">
        <v>18</v>
      </c>
      <c r="C320" t="s">
        <v>17</v>
      </c>
      <c r="D320">
        <v>8.3000000000000007</v>
      </c>
      <c r="E320">
        <v>3.3</v>
      </c>
      <c r="F320">
        <v>1.7</v>
      </c>
      <c r="G320">
        <v>1.7</v>
      </c>
      <c r="H320">
        <v>5.5</v>
      </c>
      <c r="I320">
        <v>55</v>
      </c>
      <c r="J320">
        <v>1.8</v>
      </c>
      <c r="K320">
        <v>5.35</v>
      </c>
      <c r="L320">
        <v>5.55</v>
      </c>
      <c r="M320">
        <f t="shared" si="4"/>
        <v>3.5</v>
      </c>
    </row>
    <row r="321" spans="1:13" x14ac:dyDescent="0.2">
      <c r="A321" t="s">
        <v>334</v>
      </c>
      <c r="B321">
        <v>20</v>
      </c>
      <c r="C321" t="s">
        <v>13</v>
      </c>
      <c r="D321">
        <v>4.5</v>
      </c>
      <c r="E321">
        <v>1.8</v>
      </c>
      <c r="F321">
        <v>5.5</v>
      </c>
      <c r="G321">
        <v>0.9</v>
      </c>
      <c r="H321">
        <v>7.8</v>
      </c>
      <c r="I321">
        <v>96</v>
      </c>
      <c r="J321">
        <v>3.2</v>
      </c>
      <c r="K321">
        <v>9.4700000000000006</v>
      </c>
      <c r="L321">
        <v>9.67</v>
      </c>
      <c r="M321">
        <f t="shared" si="4"/>
        <v>8.6999999999999993</v>
      </c>
    </row>
    <row r="322" spans="1:13" x14ac:dyDescent="0.2">
      <c r="A322" t="s">
        <v>335</v>
      </c>
      <c r="B322">
        <v>22</v>
      </c>
      <c r="C322" t="s">
        <v>17</v>
      </c>
      <c r="D322">
        <v>6.7</v>
      </c>
      <c r="E322">
        <v>2.7</v>
      </c>
      <c r="F322">
        <v>3.3</v>
      </c>
      <c r="G322">
        <v>1.3</v>
      </c>
      <c r="H322">
        <v>6.8</v>
      </c>
      <c r="I322">
        <v>75</v>
      </c>
      <c r="J322">
        <v>2.5</v>
      </c>
      <c r="K322">
        <v>7.3199999999999896</v>
      </c>
      <c r="L322">
        <v>7.52</v>
      </c>
      <c r="M322">
        <f t="shared" ref="M322:M385" si="5">F322+J322</f>
        <v>5.8</v>
      </c>
    </row>
    <row r="323" spans="1:13" x14ac:dyDescent="0.2">
      <c r="A323" t="s">
        <v>336</v>
      </c>
      <c r="B323">
        <v>22</v>
      </c>
      <c r="C323" t="s">
        <v>13</v>
      </c>
      <c r="D323">
        <v>7.4</v>
      </c>
      <c r="E323">
        <v>3</v>
      </c>
      <c r="F323">
        <v>2.6</v>
      </c>
      <c r="G323">
        <v>1.5</v>
      </c>
      <c r="H323">
        <v>6.6</v>
      </c>
      <c r="I323">
        <v>74</v>
      </c>
      <c r="J323">
        <v>2.5</v>
      </c>
      <c r="K323">
        <v>7.28</v>
      </c>
      <c r="L323">
        <v>7.48</v>
      </c>
      <c r="M323">
        <f t="shared" si="5"/>
        <v>5.0999999999999996</v>
      </c>
    </row>
    <row r="324" spans="1:13" x14ac:dyDescent="0.2">
      <c r="A324" t="s">
        <v>337</v>
      </c>
      <c r="B324">
        <v>19</v>
      </c>
      <c r="C324" t="s">
        <v>13</v>
      </c>
      <c r="D324">
        <v>7.8</v>
      </c>
      <c r="E324">
        <v>3.1</v>
      </c>
      <c r="F324">
        <v>2.2000000000000002</v>
      </c>
      <c r="G324">
        <v>1.6</v>
      </c>
      <c r="H324">
        <v>6.8</v>
      </c>
      <c r="I324">
        <v>76</v>
      </c>
      <c r="J324">
        <v>2.5</v>
      </c>
      <c r="K324">
        <v>7.41</v>
      </c>
      <c r="L324">
        <v>7.61</v>
      </c>
      <c r="M324">
        <f t="shared" si="5"/>
        <v>4.7</v>
      </c>
    </row>
    <row r="325" spans="1:13" x14ac:dyDescent="0.2">
      <c r="A325" t="s">
        <v>338</v>
      </c>
      <c r="B325">
        <v>18</v>
      </c>
      <c r="C325" t="s">
        <v>17</v>
      </c>
      <c r="D325">
        <v>5.3</v>
      </c>
      <c r="E325">
        <v>2.1</v>
      </c>
      <c r="F325">
        <v>4.7</v>
      </c>
      <c r="G325">
        <v>1.1000000000000001</v>
      </c>
      <c r="H325">
        <v>7.5</v>
      </c>
      <c r="I325">
        <v>94</v>
      </c>
      <c r="J325">
        <v>3.1</v>
      </c>
      <c r="K325">
        <v>9.24</v>
      </c>
      <c r="L325">
        <v>9.44</v>
      </c>
      <c r="M325">
        <f t="shared" si="5"/>
        <v>7.8000000000000007</v>
      </c>
    </row>
    <row r="326" spans="1:13" x14ac:dyDescent="0.2">
      <c r="A326" t="s">
        <v>339</v>
      </c>
      <c r="B326">
        <v>25</v>
      </c>
      <c r="C326" t="s">
        <v>13</v>
      </c>
      <c r="D326">
        <v>8.1999999999999993</v>
      </c>
      <c r="E326">
        <v>3.3</v>
      </c>
      <c r="F326">
        <v>1.8</v>
      </c>
      <c r="G326">
        <v>1.6</v>
      </c>
      <c r="H326">
        <v>6.5</v>
      </c>
      <c r="I326">
        <v>59</v>
      </c>
      <c r="J326">
        <v>2</v>
      </c>
      <c r="K326">
        <v>5.75</v>
      </c>
      <c r="L326">
        <v>5.95</v>
      </c>
      <c r="M326">
        <f t="shared" si="5"/>
        <v>3.8</v>
      </c>
    </row>
    <row r="327" spans="1:13" x14ac:dyDescent="0.2">
      <c r="A327" t="s">
        <v>340</v>
      </c>
      <c r="B327">
        <v>22</v>
      </c>
      <c r="C327" t="s">
        <v>13</v>
      </c>
      <c r="D327">
        <v>4.8</v>
      </c>
      <c r="E327">
        <v>1.9</v>
      </c>
      <c r="F327">
        <v>5.2</v>
      </c>
      <c r="G327">
        <v>1</v>
      </c>
      <c r="H327">
        <v>8.4</v>
      </c>
      <c r="I327">
        <v>95</v>
      </c>
      <c r="J327">
        <v>3.2</v>
      </c>
      <c r="K327">
        <v>9.32</v>
      </c>
      <c r="L327">
        <v>9.52</v>
      </c>
      <c r="M327">
        <f t="shared" si="5"/>
        <v>8.4</v>
      </c>
    </row>
    <row r="328" spans="1:13" x14ac:dyDescent="0.2">
      <c r="A328" t="s">
        <v>341</v>
      </c>
      <c r="B328">
        <v>21</v>
      </c>
      <c r="C328" t="s">
        <v>13</v>
      </c>
      <c r="D328">
        <v>5</v>
      </c>
      <c r="E328">
        <v>2</v>
      </c>
      <c r="F328">
        <v>5</v>
      </c>
      <c r="G328">
        <v>1</v>
      </c>
      <c r="H328">
        <v>7.6</v>
      </c>
      <c r="I328">
        <v>88</v>
      </c>
      <c r="J328">
        <v>2.9</v>
      </c>
      <c r="K328">
        <v>8.61</v>
      </c>
      <c r="L328">
        <v>8.81</v>
      </c>
      <c r="M328">
        <f t="shared" si="5"/>
        <v>7.9</v>
      </c>
    </row>
    <row r="329" spans="1:13" x14ac:dyDescent="0.2">
      <c r="A329" t="s">
        <v>342</v>
      </c>
      <c r="B329">
        <v>20</v>
      </c>
      <c r="C329" t="s">
        <v>13</v>
      </c>
      <c r="D329">
        <v>4.4000000000000004</v>
      </c>
      <c r="E329">
        <v>1.8</v>
      </c>
      <c r="F329">
        <v>5.6</v>
      </c>
      <c r="G329">
        <v>0.9</v>
      </c>
      <c r="H329">
        <v>7.2</v>
      </c>
      <c r="I329">
        <v>78</v>
      </c>
      <c r="J329">
        <v>2.6</v>
      </c>
      <c r="K329">
        <v>7.6499999999999897</v>
      </c>
      <c r="L329">
        <v>7.85</v>
      </c>
      <c r="M329">
        <f t="shared" si="5"/>
        <v>8.1999999999999993</v>
      </c>
    </row>
    <row r="330" spans="1:13" x14ac:dyDescent="0.2">
      <c r="A330" t="s">
        <v>343</v>
      </c>
      <c r="B330">
        <v>23</v>
      </c>
      <c r="C330" t="s">
        <v>17</v>
      </c>
      <c r="D330">
        <v>5.7</v>
      </c>
      <c r="E330">
        <v>2.2999999999999998</v>
      </c>
      <c r="F330">
        <v>4.3</v>
      </c>
      <c r="G330">
        <v>1.1000000000000001</v>
      </c>
      <c r="H330">
        <v>7</v>
      </c>
      <c r="I330">
        <v>95</v>
      </c>
      <c r="J330">
        <v>3.2</v>
      </c>
      <c r="K330">
        <v>9.3000000000000007</v>
      </c>
      <c r="L330">
        <v>9.5</v>
      </c>
      <c r="M330">
        <f t="shared" si="5"/>
        <v>7.5</v>
      </c>
    </row>
    <row r="331" spans="1:13" x14ac:dyDescent="0.2">
      <c r="A331" t="s">
        <v>344</v>
      </c>
      <c r="B331">
        <v>18</v>
      </c>
      <c r="C331" t="s">
        <v>13</v>
      </c>
      <c r="D331">
        <v>6.3</v>
      </c>
      <c r="E331">
        <v>2.5</v>
      </c>
      <c r="F331">
        <v>3.7</v>
      </c>
      <c r="G331">
        <v>1.3</v>
      </c>
      <c r="H331">
        <v>6.3</v>
      </c>
      <c r="I331">
        <v>74</v>
      </c>
      <c r="J331">
        <v>2.5</v>
      </c>
      <c r="K331">
        <v>7.28</v>
      </c>
      <c r="L331">
        <v>7.48</v>
      </c>
      <c r="M331">
        <f t="shared" si="5"/>
        <v>6.2</v>
      </c>
    </row>
    <row r="332" spans="1:13" x14ac:dyDescent="0.2">
      <c r="A332" t="s">
        <v>345</v>
      </c>
      <c r="B332">
        <v>23</v>
      </c>
      <c r="C332" t="s">
        <v>17</v>
      </c>
      <c r="D332">
        <v>10</v>
      </c>
      <c r="E332">
        <v>4</v>
      </c>
      <c r="F332">
        <v>0</v>
      </c>
      <c r="G332">
        <v>2</v>
      </c>
      <c r="H332">
        <v>6</v>
      </c>
      <c r="I332">
        <v>55</v>
      </c>
      <c r="J332">
        <v>1.9</v>
      </c>
      <c r="K332">
        <v>5.38</v>
      </c>
      <c r="L332">
        <v>5.58</v>
      </c>
      <c r="M332">
        <f t="shared" si="5"/>
        <v>1.9</v>
      </c>
    </row>
    <row r="333" spans="1:13" x14ac:dyDescent="0.2">
      <c r="A333" t="s">
        <v>346</v>
      </c>
      <c r="B333">
        <v>23</v>
      </c>
      <c r="C333" t="s">
        <v>13</v>
      </c>
      <c r="D333">
        <v>5</v>
      </c>
      <c r="E333">
        <v>2</v>
      </c>
      <c r="F333">
        <v>5</v>
      </c>
      <c r="G333">
        <v>1</v>
      </c>
      <c r="H333">
        <v>8.1999999999999993</v>
      </c>
      <c r="I333">
        <v>79</v>
      </c>
      <c r="J333">
        <v>2.6</v>
      </c>
      <c r="K333">
        <v>7.75</v>
      </c>
      <c r="L333">
        <v>7.95</v>
      </c>
      <c r="M333">
        <f t="shared" si="5"/>
        <v>7.6</v>
      </c>
    </row>
    <row r="334" spans="1:13" x14ac:dyDescent="0.2">
      <c r="A334" t="s">
        <v>347</v>
      </c>
      <c r="B334">
        <v>17</v>
      </c>
      <c r="C334" t="s">
        <v>17</v>
      </c>
      <c r="D334">
        <v>8.1</v>
      </c>
      <c r="E334">
        <v>3.2</v>
      </c>
      <c r="F334">
        <v>1.9</v>
      </c>
      <c r="G334">
        <v>1.6</v>
      </c>
      <c r="H334">
        <v>5.9</v>
      </c>
      <c r="I334">
        <v>63</v>
      </c>
      <c r="J334">
        <v>2.1</v>
      </c>
      <c r="K334">
        <v>6.1</v>
      </c>
      <c r="L334">
        <v>6.3</v>
      </c>
      <c r="M334">
        <f t="shared" si="5"/>
        <v>4</v>
      </c>
    </row>
    <row r="335" spans="1:13" x14ac:dyDescent="0.2">
      <c r="A335" t="s">
        <v>348</v>
      </c>
      <c r="B335">
        <v>23</v>
      </c>
      <c r="C335" t="s">
        <v>13</v>
      </c>
      <c r="D335">
        <v>7.7</v>
      </c>
      <c r="E335">
        <v>3.1</v>
      </c>
      <c r="F335">
        <v>2.2999999999999998</v>
      </c>
      <c r="G335">
        <v>1.5</v>
      </c>
      <c r="H335">
        <v>6.9</v>
      </c>
      <c r="I335">
        <v>71</v>
      </c>
      <c r="J335">
        <v>2.4</v>
      </c>
      <c r="K335">
        <v>6.97</v>
      </c>
      <c r="L335">
        <v>7.17</v>
      </c>
      <c r="M335">
        <f t="shared" si="5"/>
        <v>4.6999999999999993</v>
      </c>
    </row>
    <row r="336" spans="1:13" x14ac:dyDescent="0.2">
      <c r="A336" t="s">
        <v>349</v>
      </c>
      <c r="B336">
        <v>23</v>
      </c>
      <c r="C336" t="s">
        <v>17</v>
      </c>
      <c r="D336">
        <v>4.8</v>
      </c>
      <c r="E336">
        <v>1.9</v>
      </c>
      <c r="F336">
        <v>5.2</v>
      </c>
      <c r="G336">
        <v>1</v>
      </c>
      <c r="H336">
        <v>7.7</v>
      </c>
      <c r="I336">
        <v>95</v>
      </c>
      <c r="J336">
        <v>3.2</v>
      </c>
      <c r="K336">
        <v>9.3699999999999992</v>
      </c>
      <c r="L336">
        <v>9.57</v>
      </c>
      <c r="M336">
        <f t="shared" si="5"/>
        <v>8.4</v>
      </c>
    </row>
    <row r="337" spans="1:13" x14ac:dyDescent="0.2">
      <c r="A337" t="s">
        <v>350</v>
      </c>
      <c r="B337">
        <v>21</v>
      </c>
      <c r="C337" t="s">
        <v>13</v>
      </c>
      <c r="D337">
        <v>6.5</v>
      </c>
      <c r="E337">
        <v>2.6</v>
      </c>
      <c r="F337">
        <v>3.5</v>
      </c>
      <c r="G337">
        <v>1.3</v>
      </c>
      <c r="H337">
        <v>7.1</v>
      </c>
      <c r="I337">
        <v>77</v>
      </c>
      <c r="J337">
        <v>2.6</v>
      </c>
      <c r="K337">
        <v>7.59</v>
      </c>
      <c r="L337">
        <v>7.79</v>
      </c>
      <c r="M337">
        <f t="shared" si="5"/>
        <v>6.1</v>
      </c>
    </row>
    <row r="338" spans="1:13" x14ac:dyDescent="0.2">
      <c r="A338" t="s">
        <v>351</v>
      </c>
      <c r="B338">
        <v>21</v>
      </c>
      <c r="C338" t="s">
        <v>13</v>
      </c>
      <c r="D338">
        <v>5.5</v>
      </c>
      <c r="E338">
        <v>2.2000000000000002</v>
      </c>
      <c r="F338">
        <v>4.5</v>
      </c>
      <c r="G338">
        <v>1.1000000000000001</v>
      </c>
      <c r="H338">
        <v>7.6</v>
      </c>
      <c r="I338">
        <v>80</v>
      </c>
      <c r="J338">
        <v>2.7</v>
      </c>
      <c r="K338">
        <v>7.87</v>
      </c>
      <c r="L338">
        <v>8.07</v>
      </c>
      <c r="M338">
        <f t="shared" si="5"/>
        <v>7.2</v>
      </c>
    </row>
    <row r="339" spans="1:13" x14ac:dyDescent="0.2">
      <c r="A339" t="s">
        <v>352</v>
      </c>
      <c r="B339">
        <v>18</v>
      </c>
      <c r="C339" t="s">
        <v>17</v>
      </c>
      <c r="D339">
        <v>8.1</v>
      </c>
      <c r="E339">
        <v>3.2</v>
      </c>
      <c r="F339">
        <v>1.9</v>
      </c>
      <c r="G339">
        <v>1.6</v>
      </c>
      <c r="H339">
        <v>5.9</v>
      </c>
      <c r="I339">
        <v>57</v>
      </c>
      <c r="J339">
        <v>1.9</v>
      </c>
      <c r="K339">
        <v>5.55</v>
      </c>
      <c r="L339">
        <v>5.75</v>
      </c>
      <c r="M339">
        <f t="shared" si="5"/>
        <v>3.8</v>
      </c>
    </row>
    <row r="340" spans="1:13" x14ac:dyDescent="0.2">
      <c r="A340" t="s">
        <v>353</v>
      </c>
      <c r="B340">
        <v>17</v>
      </c>
      <c r="C340" t="s">
        <v>17</v>
      </c>
      <c r="D340">
        <v>9.9</v>
      </c>
      <c r="E340">
        <v>4</v>
      </c>
      <c r="F340">
        <v>0.1</v>
      </c>
      <c r="G340">
        <v>2</v>
      </c>
      <c r="H340">
        <v>6.4</v>
      </c>
      <c r="I340">
        <v>65</v>
      </c>
      <c r="J340">
        <v>2.2000000000000002</v>
      </c>
      <c r="K340">
        <v>6.34</v>
      </c>
      <c r="L340">
        <v>6.54</v>
      </c>
      <c r="M340">
        <f t="shared" si="5"/>
        <v>2.3000000000000003</v>
      </c>
    </row>
    <row r="341" spans="1:13" x14ac:dyDescent="0.2">
      <c r="A341" t="s">
        <v>354</v>
      </c>
      <c r="B341">
        <v>21</v>
      </c>
      <c r="C341" t="s">
        <v>13</v>
      </c>
      <c r="D341">
        <v>5.6</v>
      </c>
      <c r="E341">
        <v>2.2000000000000002</v>
      </c>
      <c r="F341">
        <v>4.4000000000000004</v>
      </c>
      <c r="G341">
        <v>1.1000000000000001</v>
      </c>
      <c r="H341">
        <v>7.7</v>
      </c>
      <c r="I341">
        <v>90</v>
      </c>
      <c r="J341">
        <v>3</v>
      </c>
      <c r="K341">
        <v>8.89</v>
      </c>
      <c r="L341">
        <v>9.09</v>
      </c>
      <c r="M341">
        <f t="shared" si="5"/>
        <v>7.4</v>
      </c>
    </row>
    <row r="342" spans="1:13" x14ac:dyDescent="0.2">
      <c r="A342" t="s">
        <v>355</v>
      </c>
      <c r="B342">
        <v>24</v>
      </c>
      <c r="C342" t="s">
        <v>17</v>
      </c>
      <c r="D342">
        <v>4.8</v>
      </c>
      <c r="E342">
        <v>1.9</v>
      </c>
      <c r="F342">
        <v>5.2</v>
      </c>
      <c r="G342">
        <v>1</v>
      </c>
      <c r="H342">
        <v>7.4</v>
      </c>
      <c r="I342">
        <v>95</v>
      </c>
      <c r="J342">
        <v>3.2</v>
      </c>
      <c r="K342">
        <v>9.33</v>
      </c>
      <c r="L342">
        <v>9.5299999999999994</v>
      </c>
      <c r="M342">
        <f t="shared" si="5"/>
        <v>8.4</v>
      </c>
    </row>
    <row r="343" spans="1:13" x14ac:dyDescent="0.2">
      <c r="A343" t="s">
        <v>356</v>
      </c>
      <c r="B343">
        <v>17</v>
      </c>
      <c r="C343" t="s">
        <v>17</v>
      </c>
      <c r="D343">
        <v>6.3</v>
      </c>
      <c r="E343">
        <v>2.5</v>
      </c>
      <c r="F343">
        <v>3.7</v>
      </c>
      <c r="G343">
        <v>1.3</v>
      </c>
      <c r="H343">
        <v>6.7</v>
      </c>
      <c r="I343">
        <v>72</v>
      </c>
      <c r="J343">
        <v>2.4</v>
      </c>
      <c r="K343">
        <v>7.0699999999999896</v>
      </c>
      <c r="L343">
        <v>7.27</v>
      </c>
      <c r="M343">
        <f t="shared" si="5"/>
        <v>6.1</v>
      </c>
    </row>
    <row r="344" spans="1:13" x14ac:dyDescent="0.2">
      <c r="A344" t="s">
        <v>357</v>
      </c>
      <c r="B344">
        <v>17</v>
      </c>
      <c r="C344" t="s">
        <v>13</v>
      </c>
      <c r="D344">
        <v>4.5999999999999996</v>
      </c>
      <c r="E344">
        <v>1.8</v>
      </c>
      <c r="F344">
        <v>5.4</v>
      </c>
      <c r="G344">
        <v>0.9</v>
      </c>
      <c r="H344">
        <v>8.4</v>
      </c>
      <c r="I344">
        <v>91</v>
      </c>
      <c r="J344">
        <v>3</v>
      </c>
      <c r="K344">
        <v>8.92</v>
      </c>
      <c r="L344">
        <v>9.1199999999999992</v>
      </c>
      <c r="M344">
        <f t="shared" si="5"/>
        <v>8.4</v>
      </c>
    </row>
    <row r="345" spans="1:13" x14ac:dyDescent="0.2">
      <c r="A345" t="s">
        <v>358</v>
      </c>
      <c r="B345">
        <v>18</v>
      </c>
      <c r="C345" t="s">
        <v>13</v>
      </c>
      <c r="D345">
        <v>9.6</v>
      </c>
      <c r="E345">
        <v>3.8</v>
      </c>
      <c r="F345">
        <v>0.4</v>
      </c>
      <c r="G345">
        <v>1.9</v>
      </c>
      <c r="H345">
        <v>6.2</v>
      </c>
      <c r="I345">
        <v>58</v>
      </c>
      <c r="J345">
        <v>1.9</v>
      </c>
      <c r="K345">
        <v>5.63</v>
      </c>
      <c r="L345">
        <v>5.83</v>
      </c>
      <c r="M345">
        <f t="shared" si="5"/>
        <v>2.2999999999999998</v>
      </c>
    </row>
    <row r="346" spans="1:13" x14ac:dyDescent="0.2">
      <c r="A346" t="s">
        <v>359</v>
      </c>
      <c r="B346">
        <v>24</v>
      </c>
      <c r="C346" t="s">
        <v>17</v>
      </c>
      <c r="D346">
        <v>9.4</v>
      </c>
      <c r="E346">
        <v>3.8</v>
      </c>
      <c r="F346">
        <v>0.6</v>
      </c>
      <c r="G346">
        <v>1.9</v>
      </c>
      <c r="H346">
        <v>5.9</v>
      </c>
      <c r="I346">
        <v>63</v>
      </c>
      <c r="J346">
        <v>2.1</v>
      </c>
      <c r="K346">
        <v>6.13</v>
      </c>
      <c r="L346">
        <v>6.33</v>
      </c>
      <c r="M346">
        <f t="shared" si="5"/>
        <v>2.7</v>
      </c>
    </row>
    <row r="347" spans="1:13" x14ac:dyDescent="0.2">
      <c r="A347" t="s">
        <v>360</v>
      </c>
      <c r="B347">
        <v>24</v>
      </c>
      <c r="C347" t="s">
        <v>17</v>
      </c>
      <c r="D347">
        <v>4.9000000000000004</v>
      </c>
      <c r="E347">
        <v>2</v>
      </c>
      <c r="F347">
        <v>5.0999999999999996</v>
      </c>
      <c r="G347">
        <v>1</v>
      </c>
      <c r="H347">
        <v>7.8</v>
      </c>
      <c r="I347">
        <v>92</v>
      </c>
      <c r="J347">
        <v>3.1</v>
      </c>
      <c r="K347">
        <v>9.07</v>
      </c>
      <c r="L347">
        <v>9.27</v>
      </c>
      <c r="M347">
        <f t="shared" si="5"/>
        <v>8.1999999999999993</v>
      </c>
    </row>
    <row r="348" spans="1:13" x14ac:dyDescent="0.2">
      <c r="A348" t="s">
        <v>361</v>
      </c>
      <c r="B348">
        <v>24</v>
      </c>
      <c r="C348" t="s">
        <v>17</v>
      </c>
      <c r="D348">
        <v>4.2</v>
      </c>
      <c r="E348">
        <v>1.7</v>
      </c>
      <c r="F348">
        <v>5.8</v>
      </c>
      <c r="G348">
        <v>0.8</v>
      </c>
      <c r="H348">
        <v>8</v>
      </c>
      <c r="I348">
        <v>92</v>
      </c>
      <c r="J348">
        <v>3.1</v>
      </c>
      <c r="K348">
        <v>9.09</v>
      </c>
      <c r="L348">
        <v>9.2899999999999991</v>
      </c>
      <c r="M348">
        <f t="shared" si="5"/>
        <v>8.9</v>
      </c>
    </row>
    <row r="349" spans="1:13" x14ac:dyDescent="0.2">
      <c r="A349" t="s">
        <v>362</v>
      </c>
      <c r="B349">
        <v>20</v>
      </c>
      <c r="C349" t="s">
        <v>17</v>
      </c>
      <c r="D349">
        <v>4.0999999999999996</v>
      </c>
      <c r="E349">
        <v>1.6</v>
      </c>
      <c r="F349">
        <v>5.9</v>
      </c>
      <c r="G349">
        <v>0.8</v>
      </c>
      <c r="H349">
        <v>8.1</v>
      </c>
      <c r="I349">
        <v>97</v>
      </c>
      <c r="J349">
        <v>3.2</v>
      </c>
      <c r="K349">
        <v>9.51</v>
      </c>
      <c r="L349">
        <v>9.7100000000000009</v>
      </c>
      <c r="M349">
        <f t="shared" si="5"/>
        <v>9.1000000000000014</v>
      </c>
    </row>
    <row r="350" spans="1:13" x14ac:dyDescent="0.2">
      <c r="A350" t="s">
        <v>363</v>
      </c>
      <c r="B350">
        <v>21</v>
      </c>
      <c r="C350" t="s">
        <v>17</v>
      </c>
      <c r="D350">
        <v>9.8000000000000007</v>
      </c>
      <c r="E350">
        <v>3.9</v>
      </c>
      <c r="F350">
        <v>0.2</v>
      </c>
      <c r="G350">
        <v>2</v>
      </c>
      <c r="H350">
        <v>6.2</v>
      </c>
      <c r="I350">
        <v>67</v>
      </c>
      <c r="J350">
        <v>2.2000000000000002</v>
      </c>
      <c r="K350">
        <v>6.53</v>
      </c>
      <c r="L350">
        <v>6.73</v>
      </c>
      <c r="M350">
        <f t="shared" si="5"/>
        <v>2.4000000000000004</v>
      </c>
    </row>
    <row r="351" spans="1:13" x14ac:dyDescent="0.2">
      <c r="A351" t="s">
        <v>364</v>
      </c>
      <c r="B351">
        <v>17</v>
      </c>
      <c r="C351" t="s">
        <v>17</v>
      </c>
      <c r="D351">
        <v>8</v>
      </c>
      <c r="E351">
        <v>3.2</v>
      </c>
      <c r="F351">
        <v>2</v>
      </c>
      <c r="G351">
        <v>1.6</v>
      </c>
      <c r="H351">
        <v>5.4</v>
      </c>
      <c r="I351">
        <v>64</v>
      </c>
      <c r="J351">
        <v>2.2000000000000002</v>
      </c>
      <c r="K351">
        <v>6.29</v>
      </c>
      <c r="L351">
        <v>6.49</v>
      </c>
      <c r="M351">
        <f t="shared" si="5"/>
        <v>4.2</v>
      </c>
    </row>
    <row r="352" spans="1:13" x14ac:dyDescent="0.2">
      <c r="A352" t="s">
        <v>365</v>
      </c>
      <c r="B352">
        <v>19</v>
      </c>
      <c r="C352" t="s">
        <v>17</v>
      </c>
      <c r="D352">
        <v>8.6999999999999993</v>
      </c>
      <c r="E352">
        <v>3.5</v>
      </c>
      <c r="F352">
        <v>1.3</v>
      </c>
      <c r="G352">
        <v>1.7</v>
      </c>
      <c r="H352">
        <v>6.5</v>
      </c>
      <c r="I352">
        <v>58</v>
      </c>
      <c r="J352">
        <v>1.9</v>
      </c>
      <c r="K352">
        <v>5.6</v>
      </c>
      <c r="L352">
        <v>5.8</v>
      </c>
      <c r="M352">
        <f t="shared" si="5"/>
        <v>3.2</v>
      </c>
    </row>
    <row r="353" spans="1:13" x14ac:dyDescent="0.2">
      <c r="A353" t="s">
        <v>366</v>
      </c>
      <c r="B353">
        <v>23</v>
      </c>
      <c r="C353" t="s">
        <v>13</v>
      </c>
      <c r="D353">
        <v>5.5</v>
      </c>
      <c r="E353">
        <v>2.2000000000000002</v>
      </c>
      <c r="F353">
        <v>4.5</v>
      </c>
      <c r="G353">
        <v>1.1000000000000001</v>
      </c>
      <c r="H353">
        <v>7.1</v>
      </c>
      <c r="I353">
        <v>83</v>
      </c>
      <c r="J353">
        <v>2.8</v>
      </c>
      <c r="K353">
        <v>8.1199999999999992</v>
      </c>
      <c r="L353">
        <v>8.32</v>
      </c>
      <c r="M353">
        <f t="shared" si="5"/>
        <v>7.3</v>
      </c>
    </row>
    <row r="354" spans="1:13" x14ac:dyDescent="0.2">
      <c r="A354" t="s">
        <v>367</v>
      </c>
      <c r="B354">
        <v>18</v>
      </c>
      <c r="C354" t="s">
        <v>13</v>
      </c>
      <c r="D354">
        <v>9.4</v>
      </c>
      <c r="E354">
        <v>3.8</v>
      </c>
      <c r="F354">
        <v>0.6</v>
      </c>
      <c r="G354">
        <v>1.9</v>
      </c>
      <c r="H354">
        <v>5.2</v>
      </c>
      <c r="I354">
        <v>59</v>
      </c>
      <c r="J354">
        <v>2</v>
      </c>
      <c r="K354">
        <v>5.72</v>
      </c>
      <c r="L354">
        <v>5.92</v>
      </c>
      <c r="M354">
        <f t="shared" si="5"/>
        <v>2.6</v>
      </c>
    </row>
    <row r="355" spans="1:13" x14ac:dyDescent="0.2">
      <c r="A355" t="s">
        <v>368</v>
      </c>
      <c r="B355">
        <v>17</v>
      </c>
      <c r="C355" t="s">
        <v>13</v>
      </c>
      <c r="D355">
        <v>6.9</v>
      </c>
      <c r="E355">
        <v>2.8</v>
      </c>
      <c r="F355">
        <v>3.1</v>
      </c>
      <c r="G355">
        <v>1.4</v>
      </c>
      <c r="H355">
        <v>6.8</v>
      </c>
      <c r="I355">
        <v>79</v>
      </c>
      <c r="J355">
        <v>2.6</v>
      </c>
      <c r="K355">
        <v>7.7</v>
      </c>
      <c r="L355">
        <v>7.9</v>
      </c>
      <c r="M355">
        <f t="shared" si="5"/>
        <v>5.7</v>
      </c>
    </row>
    <row r="356" spans="1:13" x14ac:dyDescent="0.2">
      <c r="A356" t="s">
        <v>369</v>
      </c>
      <c r="B356">
        <v>25</v>
      </c>
      <c r="C356" t="s">
        <v>13</v>
      </c>
      <c r="D356">
        <v>7.6</v>
      </c>
      <c r="E356">
        <v>3</v>
      </c>
      <c r="F356">
        <v>2.4</v>
      </c>
      <c r="G356">
        <v>1.5</v>
      </c>
      <c r="H356">
        <v>6.6</v>
      </c>
      <c r="I356">
        <v>69</v>
      </c>
      <c r="J356">
        <v>2.2999999999999998</v>
      </c>
      <c r="K356">
        <v>6.71</v>
      </c>
      <c r="L356">
        <v>6.91</v>
      </c>
      <c r="M356">
        <f t="shared" si="5"/>
        <v>4.6999999999999993</v>
      </c>
    </row>
    <row r="357" spans="1:13" x14ac:dyDescent="0.2">
      <c r="A357" t="s">
        <v>370</v>
      </c>
      <c r="B357">
        <v>17</v>
      </c>
      <c r="C357" t="s">
        <v>13</v>
      </c>
      <c r="D357">
        <v>9.6999999999999993</v>
      </c>
      <c r="E357">
        <v>3.9</v>
      </c>
      <c r="F357">
        <v>0.3</v>
      </c>
      <c r="G357">
        <v>1.9</v>
      </c>
      <c r="H357">
        <v>5.2</v>
      </c>
      <c r="I357">
        <v>58</v>
      </c>
      <c r="J357">
        <v>1.9</v>
      </c>
      <c r="K357">
        <v>5.6099999999999897</v>
      </c>
      <c r="L357">
        <v>5.81</v>
      </c>
      <c r="M357">
        <f t="shared" si="5"/>
        <v>2.1999999999999997</v>
      </c>
    </row>
    <row r="358" spans="1:13" x14ac:dyDescent="0.2">
      <c r="A358" t="s">
        <v>371</v>
      </c>
      <c r="B358">
        <v>17</v>
      </c>
      <c r="C358" t="s">
        <v>13</v>
      </c>
      <c r="D358">
        <v>10</v>
      </c>
      <c r="E358">
        <v>4</v>
      </c>
      <c r="F358">
        <v>0</v>
      </c>
      <c r="G358">
        <v>2</v>
      </c>
      <c r="H358">
        <v>5.5</v>
      </c>
      <c r="I358">
        <v>63</v>
      </c>
      <c r="J358">
        <v>2.1</v>
      </c>
      <c r="K358">
        <v>6.17</v>
      </c>
      <c r="L358">
        <v>6.37</v>
      </c>
      <c r="M358">
        <f t="shared" si="5"/>
        <v>2.1</v>
      </c>
    </row>
    <row r="359" spans="1:13" x14ac:dyDescent="0.2">
      <c r="A359" t="s">
        <v>372</v>
      </c>
      <c r="B359">
        <v>24</v>
      </c>
      <c r="C359" t="s">
        <v>13</v>
      </c>
      <c r="D359">
        <v>9.5</v>
      </c>
      <c r="E359">
        <v>3.8</v>
      </c>
      <c r="F359">
        <v>0.5</v>
      </c>
      <c r="G359">
        <v>1.9</v>
      </c>
      <c r="H359">
        <v>6.1</v>
      </c>
      <c r="I359">
        <v>58</v>
      </c>
      <c r="J359">
        <v>1.9</v>
      </c>
      <c r="K359">
        <v>5.63</v>
      </c>
      <c r="L359">
        <v>5.83</v>
      </c>
      <c r="M359">
        <f t="shared" si="5"/>
        <v>2.4</v>
      </c>
    </row>
    <row r="360" spans="1:13" x14ac:dyDescent="0.2">
      <c r="A360" t="s">
        <v>373</v>
      </c>
      <c r="B360">
        <v>22</v>
      </c>
      <c r="C360" t="s">
        <v>17</v>
      </c>
      <c r="D360">
        <v>8.4</v>
      </c>
      <c r="E360">
        <v>3.4</v>
      </c>
      <c r="F360">
        <v>1.6</v>
      </c>
      <c r="G360">
        <v>1.7</v>
      </c>
      <c r="H360">
        <v>6</v>
      </c>
      <c r="I360">
        <v>65</v>
      </c>
      <c r="J360">
        <v>2.2000000000000002</v>
      </c>
      <c r="K360">
        <v>6.31</v>
      </c>
      <c r="L360">
        <v>6.51</v>
      </c>
      <c r="M360">
        <f t="shared" si="5"/>
        <v>3.8000000000000003</v>
      </c>
    </row>
    <row r="361" spans="1:13" x14ac:dyDescent="0.2">
      <c r="A361" t="s">
        <v>374</v>
      </c>
      <c r="B361">
        <v>21</v>
      </c>
      <c r="C361" t="s">
        <v>17</v>
      </c>
      <c r="D361">
        <v>5.6</v>
      </c>
      <c r="E361">
        <v>2.2000000000000002</v>
      </c>
      <c r="F361">
        <v>4.4000000000000004</v>
      </c>
      <c r="G361">
        <v>1.1000000000000001</v>
      </c>
      <c r="H361">
        <v>8.1</v>
      </c>
      <c r="I361">
        <v>88</v>
      </c>
      <c r="J361">
        <v>3</v>
      </c>
      <c r="K361">
        <v>8.68</v>
      </c>
      <c r="L361">
        <v>8.8800000000000008</v>
      </c>
      <c r="M361">
        <f t="shared" si="5"/>
        <v>7.4</v>
      </c>
    </row>
    <row r="362" spans="1:13" x14ac:dyDescent="0.2">
      <c r="A362" t="s">
        <v>375</v>
      </c>
      <c r="B362">
        <v>24</v>
      </c>
      <c r="C362" t="s">
        <v>13</v>
      </c>
      <c r="D362">
        <v>4.5999999999999996</v>
      </c>
      <c r="E362">
        <v>1.8</v>
      </c>
      <c r="F362">
        <v>5.4</v>
      </c>
      <c r="G362">
        <v>0.9</v>
      </c>
      <c r="H362">
        <v>7.7</v>
      </c>
      <c r="I362">
        <v>97</v>
      </c>
      <c r="J362">
        <v>3.2</v>
      </c>
      <c r="K362">
        <v>9.5299999999999994</v>
      </c>
      <c r="L362">
        <v>9.73</v>
      </c>
      <c r="M362">
        <f t="shared" si="5"/>
        <v>8.6000000000000014</v>
      </c>
    </row>
    <row r="363" spans="1:13" x14ac:dyDescent="0.2">
      <c r="A363" t="s">
        <v>376</v>
      </c>
      <c r="B363">
        <v>19</v>
      </c>
      <c r="C363" t="s">
        <v>17</v>
      </c>
      <c r="D363">
        <v>8.4</v>
      </c>
      <c r="E363">
        <v>3.4</v>
      </c>
      <c r="F363">
        <v>1.6</v>
      </c>
      <c r="G363">
        <v>1.7</v>
      </c>
      <c r="H363">
        <v>5.9</v>
      </c>
      <c r="I363">
        <v>62</v>
      </c>
      <c r="J363">
        <v>2.1</v>
      </c>
      <c r="K363">
        <v>6</v>
      </c>
      <c r="L363">
        <v>6.2</v>
      </c>
      <c r="M363">
        <f t="shared" si="5"/>
        <v>3.7</v>
      </c>
    </row>
    <row r="364" spans="1:13" x14ac:dyDescent="0.2">
      <c r="A364" t="s">
        <v>377</v>
      </c>
      <c r="B364">
        <v>21</v>
      </c>
      <c r="C364" t="s">
        <v>17</v>
      </c>
      <c r="D364">
        <v>4.5999999999999996</v>
      </c>
      <c r="E364">
        <v>1.8</v>
      </c>
      <c r="F364">
        <v>5.4</v>
      </c>
      <c r="G364">
        <v>0.9</v>
      </c>
      <c r="H364">
        <v>7.1</v>
      </c>
      <c r="I364">
        <v>81</v>
      </c>
      <c r="J364">
        <v>2.7</v>
      </c>
      <c r="K364">
        <v>7.8999999999999897</v>
      </c>
      <c r="L364">
        <v>8.1</v>
      </c>
      <c r="M364">
        <f t="shared" si="5"/>
        <v>8.1000000000000014</v>
      </c>
    </row>
    <row r="365" spans="1:13" x14ac:dyDescent="0.2">
      <c r="A365" t="s">
        <v>378</v>
      </c>
      <c r="B365">
        <v>19</v>
      </c>
      <c r="C365" t="s">
        <v>17</v>
      </c>
      <c r="D365">
        <v>5</v>
      </c>
      <c r="E365">
        <v>2</v>
      </c>
      <c r="F365">
        <v>5</v>
      </c>
      <c r="G365">
        <v>1</v>
      </c>
      <c r="H365">
        <v>8.1999999999999993</v>
      </c>
      <c r="I365">
        <v>89</v>
      </c>
      <c r="J365">
        <v>3</v>
      </c>
      <c r="K365">
        <v>8.7200000000000006</v>
      </c>
      <c r="L365">
        <v>8.92</v>
      </c>
      <c r="M365">
        <f t="shared" si="5"/>
        <v>8</v>
      </c>
    </row>
    <row r="366" spans="1:13" x14ac:dyDescent="0.2">
      <c r="A366" t="s">
        <v>379</v>
      </c>
      <c r="B366">
        <v>25</v>
      </c>
      <c r="C366" t="s">
        <v>13</v>
      </c>
      <c r="D366">
        <v>5.7</v>
      </c>
      <c r="E366">
        <v>2.2999999999999998</v>
      </c>
      <c r="F366">
        <v>4.3</v>
      </c>
      <c r="G366">
        <v>1.1000000000000001</v>
      </c>
      <c r="H366">
        <v>8.3000000000000007</v>
      </c>
      <c r="I366">
        <v>81</v>
      </c>
      <c r="J366">
        <v>2.7</v>
      </c>
      <c r="K366">
        <v>7.9899999999999904</v>
      </c>
      <c r="L366">
        <v>8.19</v>
      </c>
      <c r="M366">
        <f t="shared" si="5"/>
        <v>7</v>
      </c>
    </row>
    <row r="367" spans="1:13" x14ac:dyDescent="0.2">
      <c r="A367" t="s">
        <v>380</v>
      </c>
      <c r="B367">
        <v>25</v>
      </c>
      <c r="C367" t="s">
        <v>13</v>
      </c>
      <c r="D367">
        <v>8.5</v>
      </c>
      <c r="E367">
        <v>3.4</v>
      </c>
      <c r="F367">
        <v>1.5</v>
      </c>
      <c r="G367">
        <v>1.7</v>
      </c>
      <c r="H367">
        <v>5.9</v>
      </c>
      <c r="I367">
        <v>65</v>
      </c>
      <c r="J367">
        <v>2.2000000000000002</v>
      </c>
      <c r="K367">
        <v>6.3599999999999897</v>
      </c>
      <c r="L367">
        <v>6.56</v>
      </c>
      <c r="M367">
        <f t="shared" si="5"/>
        <v>3.7</v>
      </c>
    </row>
    <row r="368" spans="1:13" x14ac:dyDescent="0.2">
      <c r="A368" t="s">
        <v>381</v>
      </c>
      <c r="B368">
        <v>22</v>
      </c>
      <c r="C368" t="s">
        <v>13</v>
      </c>
      <c r="D368">
        <v>8.6999999999999993</v>
      </c>
      <c r="E368">
        <v>3.5</v>
      </c>
      <c r="F368">
        <v>1.3</v>
      </c>
      <c r="G368">
        <v>1.7</v>
      </c>
      <c r="H368">
        <v>5</v>
      </c>
      <c r="I368">
        <v>62</v>
      </c>
      <c r="J368">
        <v>2.1</v>
      </c>
      <c r="K368">
        <v>6.02</v>
      </c>
      <c r="L368">
        <v>6.22</v>
      </c>
      <c r="M368">
        <f t="shared" si="5"/>
        <v>3.4000000000000004</v>
      </c>
    </row>
    <row r="369" spans="1:13" x14ac:dyDescent="0.2">
      <c r="A369" t="s">
        <v>382</v>
      </c>
      <c r="B369">
        <v>20</v>
      </c>
      <c r="C369" t="s">
        <v>17</v>
      </c>
      <c r="D369">
        <v>8.5</v>
      </c>
      <c r="E369">
        <v>3.4</v>
      </c>
      <c r="F369">
        <v>1.5</v>
      </c>
      <c r="G369">
        <v>1.7</v>
      </c>
      <c r="H369">
        <v>6.4</v>
      </c>
      <c r="I369">
        <v>57</v>
      </c>
      <c r="J369">
        <v>1.9</v>
      </c>
      <c r="K369">
        <v>5.56</v>
      </c>
      <c r="L369">
        <v>5.76</v>
      </c>
      <c r="M369">
        <f t="shared" si="5"/>
        <v>3.4</v>
      </c>
    </row>
    <row r="370" spans="1:13" x14ac:dyDescent="0.2">
      <c r="A370" t="s">
        <v>383</v>
      </c>
      <c r="B370">
        <v>21</v>
      </c>
      <c r="C370" t="s">
        <v>13</v>
      </c>
      <c r="D370">
        <v>8.5</v>
      </c>
      <c r="E370">
        <v>3.4</v>
      </c>
      <c r="F370">
        <v>1.5</v>
      </c>
      <c r="G370">
        <v>1.7</v>
      </c>
      <c r="H370">
        <v>5.7</v>
      </c>
      <c r="I370">
        <v>65</v>
      </c>
      <c r="J370">
        <v>2.2000000000000002</v>
      </c>
      <c r="K370">
        <v>6.39</v>
      </c>
      <c r="L370">
        <v>6.59</v>
      </c>
      <c r="M370">
        <f t="shared" si="5"/>
        <v>3.7</v>
      </c>
    </row>
    <row r="371" spans="1:13" x14ac:dyDescent="0.2">
      <c r="A371" t="s">
        <v>384</v>
      </c>
      <c r="B371">
        <v>22</v>
      </c>
      <c r="C371" t="s">
        <v>17</v>
      </c>
      <c r="D371">
        <v>6.2</v>
      </c>
      <c r="E371">
        <v>2.5</v>
      </c>
      <c r="F371">
        <v>3.8</v>
      </c>
      <c r="G371">
        <v>1.2</v>
      </c>
      <c r="H371">
        <v>7.1</v>
      </c>
      <c r="I371">
        <v>73</v>
      </c>
      <c r="J371">
        <v>2.4</v>
      </c>
      <c r="K371">
        <v>7.14</v>
      </c>
      <c r="L371">
        <v>7.34</v>
      </c>
      <c r="M371">
        <f t="shared" si="5"/>
        <v>6.1999999999999993</v>
      </c>
    </row>
    <row r="372" spans="1:13" x14ac:dyDescent="0.2">
      <c r="A372" t="s">
        <v>385</v>
      </c>
      <c r="B372">
        <v>21</v>
      </c>
      <c r="C372" t="s">
        <v>13</v>
      </c>
      <c r="D372">
        <v>4.8</v>
      </c>
      <c r="E372">
        <v>1.9</v>
      </c>
      <c r="F372">
        <v>5.2</v>
      </c>
      <c r="G372">
        <v>1</v>
      </c>
      <c r="H372">
        <v>7</v>
      </c>
      <c r="I372">
        <v>91</v>
      </c>
      <c r="J372">
        <v>3</v>
      </c>
      <c r="K372">
        <v>8.93</v>
      </c>
      <c r="L372">
        <v>9.1300000000000008</v>
      </c>
      <c r="M372">
        <f t="shared" si="5"/>
        <v>8.1999999999999993</v>
      </c>
    </row>
    <row r="373" spans="1:13" x14ac:dyDescent="0.2">
      <c r="A373" t="s">
        <v>386</v>
      </c>
      <c r="B373">
        <v>17</v>
      </c>
      <c r="C373" t="s">
        <v>17</v>
      </c>
      <c r="D373">
        <v>7.7</v>
      </c>
      <c r="E373">
        <v>3.1</v>
      </c>
      <c r="F373">
        <v>2.2999999999999998</v>
      </c>
      <c r="G373">
        <v>1.5</v>
      </c>
      <c r="H373">
        <v>7.2</v>
      </c>
      <c r="I373">
        <v>72</v>
      </c>
      <c r="J373">
        <v>2.4</v>
      </c>
      <c r="K373">
        <v>7.03</v>
      </c>
      <c r="L373">
        <v>7.23</v>
      </c>
      <c r="M373">
        <f t="shared" si="5"/>
        <v>4.6999999999999993</v>
      </c>
    </row>
    <row r="374" spans="1:13" x14ac:dyDescent="0.2">
      <c r="A374" t="s">
        <v>387</v>
      </c>
      <c r="B374">
        <v>23</v>
      </c>
      <c r="C374" t="s">
        <v>13</v>
      </c>
      <c r="D374">
        <v>9.1999999999999993</v>
      </c>
      <c r="E374">
        <v>3.7</v>
      </c>
      <c r="F374">
        <v>0.8</v>
      </c>
      <c r="G374">
        <v>1.8</v>
      </c>
      <c r="H374">
        <v>6.1</v>
      </c>
      <c r="I374">
        <v>61</v>
      </c>
      <c r="J374">
        <v>2.1</v>
      </c>
      <c r="K374">
        <v>5.96</v>
      </c>
      <c r="L374">
        <v>6.16</v>
      </c>
      <c r="M374">
        <f t="shared" si="5"/>
        <v>2.9000000000000004</v>
      </c>
    </row>
    <row r="375" spans="1:13" x14ac:dyDescent="0.2">
      <c r="A375" t="s">
        <v>388</v>
      </c>
      <c r="B375">
        <v>19</v>
      </c>
      <c r="C375" t="s">
        <v>17</v>
      </c>
      <c r="D375">
        <v>7.4</v>
      </c>
      <c r="E375">
        <v>3</v>
      </c>
      <c r="F375">
        <v>2.6</v>
      </c>
      <c r="G375">
        <v>1.5</v>
      </c>
      <c r="H375">
        <v>7</v>
      </c>
      <c r="I375">
        <v>75</v>
      </c>
      <c r="J375">
        <v>2.5</v>
      </c>
      <c r="K375">
        <v>7.3199999999999896</v>
      </c>
      <c r="L375">
        <v>7.52</v>
      </c>
      <c r="M375">
        <f t="shared" si="5"/>
        <v>5.0999999999999996</v>
      </c>
    </row>
    <row r="376" spans="1:13" x14ac:dyDescent="0.2">
      <c r="A376" t="s">
        <v>389</v>
      </c>
      <c r="B376">
        <v>22</v>
      </c>
      <c r="C376" t="s">
        <v>13</v>
      </c>
      <c r="D376">
        <v>4.0999999999999996</v>
      </c>
      <c r="E376">
        <v>1.6</v>
      </c>
      <c r="F376">
        <v>5.9</v>
      </c>
      <c r="G376">
        <v>0.8</v>
      </c>
      <c r="H376">
        <v>8</v>
      </c>
      <c r="I376">
        <v>84</v>
      </c>
      <c r="J376">
        <v>2.8</v>
      </c>
      <c r="K376">
        <v>8.24</v>
      </c>
      <c r="L376">
        <v>8.44</v>
      </c>
      <c r="M376">
        <f t="shared" si="5"/>
        <v>8.6999999999999993</v>
      </c>
    </row>
    <row r="377" spans="1:13" x14ac:dyDescent="0.2">
      <c r="A377" t="s">
        <v>390</v>
      </c>
      <c r="B377">
        <v>19</v>
      </c>
      <c r="C377" t="s">
        <v>13</v>
      </c>
      <c r="D377">
        <v>6</v>
      </c>
      <c r="E377">
        <v>2.4</v>
      </c>
      <c r="F377">
        <v>4</v>
      </c>
      <c r="G377">
        <v>1.2</v>
      </c>
      <c r="H377">
        <v>7.1</v>
      </c>
      <c r="I377">
        <v>77</v>
      </c>
      <c r="J377">
        <v>2.6</v>
      </c>
      <c r="K377">
        <v>7.54</v>
      </c>
      <c r="L377">
        <v>7.74</v>
      </c>
      <c r="M377">
        <f t="shared" si="5"/>
        <v>6.6</v>
      </c>
    </row>
    <row r="378" spans="1:13" x14ac:dyDescent="0.2">
      <c r="A378" t="s">
        <v>391</v>
      </c>
      <c r="B378">
        <v>18</v>
      </c>
      <c r="C378" t="s">
        <v>17</v>
      </c>
      <c r="D378">
        <v>6.2</v>
      </c>
      <c r="E378">
        <v>2.5</v>
      </c>
      <c r="F378">
        <v>3.8</v>
      </c>
      <c r="G378">
        <v>1.2</v>
      </c>
      <c r="H378">
        <v>7.1</v>
      </c>
      <c r="I378">
        <v>69</v>
      </c>
      <c r="J378">
        <v>2.2999999999999998</v>
      </c>
      <c r="K378">
        <v>6.75</v>
      </c>
      <c r="L378">
        <v>6.95</v>
      </c>
      <c r="M378">
        <f t="shared" si="5"/>
        <v>6.1</v>
      </c>
    </row>
    <row r="379" spans="1:13" x14ac:dyDescent="0.2">
      <c r="A379" t="s">
        <v>392</v>
      </c>
      <c r="B379">
        <v>22</v>
      </c>
      <c r="C379" t="s">
        <v>17</v>
      </c>
      <c r="D379">
        <v>5.3</v>
      </c>
      <c r="E379">
        <v>2.1</v>
      </c>
      <c r="F379">
        <v>4.7</v>
      </c>
      <c r="G379">
        <v>1.1000000000000001</v>
      </c>
      <c r="H379">
        <v>8.1</v>
      </c>
      <c r="I379">
        <v>90</v>
      </c>
      <c r="J379">
        <v>3</v>
      </c>
      <c r="K379">
        <v>8.8000000000000007</v>
      </c>
      <c r="L379">
        <v>9</v>
      </c>
      <c r="M379">
        <f t="shared" si="5"/>
        <v>7.7</v>
      </c>
    </row>
    <row r="380" spans="1:13" x14ac:dyDescent="0.2">
      <c r="A380" t="s">
        <v>393</v>
      </c>
      <c r="B380">
        <v>23</v>
      </c>
      <c r="C380" t="s">
        <v>17</v>
      </c>
      <c r="D380">
        <v>5</v>
      </c>
      <c r="E380">
        <v>2</v>
      </c>
      <c r="F380">
        <v>5</v>
      </c>
      <c r="G380">
        <v>1</v>
      </c>
      <c r="H380">
        <v>7.7</v>
      </c>
      <c r="I380">
        <v>90</v>
      </c>
      <c r="J380">
        <v>3</v>
      </c>
      <c r="K380">
        <v>8.8800000000000008</v>
      </c>
      <c r="L380">
        <v>9.08</v>
      </c>
      <c r="M380">
        <f t="shared" si="5"/>
        <v>8</v>
      </c>
    </row>
    <row r="381" spans="1:13" x14ac:dyDescent="0.2">
      <c r="A381" t="s">
        <v>394</v>
      </c>
      <c r="B381">
        <v>18</v>
      </c>
      <c r="C381" t="s">
        <v>17</v>
      </c>
      <c r="D381">
        <v>9.6999999999999993</v>
      </c>
      <c r="E381">
        <v>3.9</v>
      </c>
      <c r="F381">
        <v>0.3</v>
      </c>
      <c r="G381">
        <v>1.9</v>
      </c>
      <c r="H381">
        <v>5.8</v>
      </c>
      <c r="I381">
        <v>57</v>
      </c>
      <c r="J381">
        <v>1.9</v>
      </c>
      <c r="K381">
        <v>5.56</v>
      </c>
      <c r="L381">
        <v>5.76</v>
      </c>
      <c r="M381">
        <f t="shared" si="5"/>
        <v>2.1999999999999997</v>
      </c>
    </row>
    <row r="382" spans="1:13" x14ac:dyDescent="0.2">
      <c r="A382" t="s">
        <v>395</v>
      </c>
      <c r="B382">
        <v>17</v>
      </c>
      <c r="C382" t="s">
        <v>17</v>
      </c>
      <c r="D382">
        <v>4.2</v>
      </c>
      <c r="E382">
        <v>1.7</v>
      </c>
      <c r="F382">
        <v>5.8</v>
      </c>
      <c r="G382">
        <v>0.8</v>
      </c>
      <c r="H382">
        <v>8.1999999999999993</v>
      </c>
      <c r="I382">
        <v>78</v>
      </c>
      <c r="J382">
        <v>2.6</v>
      </c>
      <c r="K382">
        <v>7.6499999999999897</v>
      </c>
      <c r="L382">
        <v>7.85</v>
      </c>
      <c r="M382">
        <f t="shared" si="5"/>
        <v>8.4</v>
      </c>
    </row>
    <row r="383" spans="1:13" x14ac:dyDescent="0.2">
      <c r="A383" t="s">
        <v>396</v>
      </c>
      <c r="B383">
        <v>19</v>
      </c>
      <c r="C383" t="s">
        <v>17</v>
      </c>
      <c r="D383">
        <v>5.8</v>
      </c>
      <c r="E383">
        <v>2.2999999999999998</v>
      </c>
      <c r="F383">
        <v>4.2</v>
      </c>
      <c r="G383">
        <v>1.2</v>
      </c>
      <c r="H383">
        <v>7.4</v>
      </c>
      <c r="I383">
        <v>96</v>
      </c>
      <c r="J383">
        <v>3.2</v>
      </c>
      <c r="K383">
        <v>9.48</v>
      </c>
      <c r="L383">
        <v>9.68</v>
      </c>
      <c r="M383">
        <f t="shared" si="5"/>
        <v>7.4</v>
      </c>
    </row>
    <row r="384" spans="1:13" x14ac:dyDescent="0.2">
      <c r="A384" t="s">
        <v>397</v>
      </c>
      <c r="B384">
        <v>21</v>
      </c>
      <c r="C384" t="s">
        <v>13</v>
      </c>
      <c r="D384">
        <v>9.1</v>
      </c>
      <c r="E384">
        <v>3.6</v>
      </c>
      <c r="F384">
        <v>0.9</v>
      </c>
      <c r="G384">
        <v>1.8</v>
      </c>
      <c r="H384">
        <v>6.2</v>
      </c>
      <c r="I384">
        <v>57</v>
      </c>
      <c r="J384">
        <v>1.9</v>
      </c>
      <c r="K384">
        <v>5.54</v>
      </c>
      <c r="L384">
        <v>5.74</v>
      </c>
      <c r="M384">
        <f t="shared" si="5"/>
        <v>2.8</v>
      </c>
    </row>
    <row r="385" spans="1:13" x14ac:dyDescent="0.2">
      <c r="A385" t="s">
        <v>398</v>
      </c>
      <c r="B385">
        <v>19</v>
      </c>
      <c r="C385" t="s">
        <v>17</v>
      </c>
      <c r="D385">
        <v>4.8</v>
      </c>
      <c r="E385">
        <v>1.9</v>
      </c>
      <c r="F385">
        <v>5.2</v>
      </c>
      <c r="G385">
        <v>1</v>
      </c>
      <c r="H385">
        <v>8.1</v>
      </c>
      <c r="I385">
        <v>79</v>
      </c>
      <c r="J385">
        <v>2.7</v>
      </c>
      <c r="K385">
        <v>7.76</v>
      </c>
      <c r="L385">
        <v>7.96</v>
      </c>
      <c r="M385">
        <f t="shared" si="5"/>
        <v>7.9</v>
      </c>
    </row>
    <row r="386" spans="1:13" x14ac:dyDescent="0.2">
      <c r="A386" t="s">
        <v>399</v>
      </c>
      <c r="B386">
        <v>20</v>
      </c>
      <c r="C386" t="s">
        <v>13</v>
      </c>
      <c r="D386">
        <v>8.6999999999999993</v>
      </c>
      <c r="E386">
        <v>3.5</v>
      </c>
      <c r="F386">
        <v>1.3</v>
      </c>
      <c r="G386">
        <v>1.7</v>
      </c>
      <c r="H386">
        <v>5.0999999999999996</v>
      </c>
      <c r="I386">
        <v>55</v>
      </c>
      <c r="J386">
        <v>1.8</v>
      </c>
      <c r="K386">
        <v>5.31</v>
      </c>
      <c r="L386">
        <v>5.51</v>
      </c>
      <c r="M386">
        <f t="shared" ref="M386:M449" si="6">F386+J386</f>
        <v>3.1</v>
      </c>
    </row>
    <row r="387" spans="1:13" x14ac:dyDescent="0.2">
      <c r="A387" t="s">
        <v>400</v>
      </c>
      <c r="B387">
        <v>22</v>
      </c>
      <c r="C387" t="s">
        <v>13</v>
      </c>
      <c r="D387">
        <v>6.8</v>
      </c>
      <c r="E387">
        <v>2.7</v>
      </c>
      <c r="F387">
        <v>3.2</v>
      </c>
      <c r="G387">
        <v>1.4</v>
      </c>
      <c r="H387">
        <v>6.4</v>
      </c>
      <c r="I387">
        <v>68</v>
      </c>
      <c r="J387">
        <v>2.2999999999999998</v>
      </c>
      <c r="K387">
        <v>6.62</v>
      </c>
      <c r="L387">
        <v>6.82</v>
      </c>
      <c r="M387">
        <f t="shared" si="6"/>
        <v>5.5</v>
      </c>
    </row>
    <row r="388" spans="1:13" x14ac:dyDescent="0.2">
      <c r="A388" t="s">
        <v>401</v>
      </c>
      <c r="B388">
        <v>22</v>
      </c>
      <c r="C388" t="s">
        <v>17</v>
      </c>
      <c r="D388">
        <v>5.7</v>
      </c>
      <c r="E388">
        <v>2.2999999999999998</v>
      </c>
      <c r="F388">
        <v>4.3</v>
      </c>
      <c r="G388">
        <v>1.1000000000000001</v>
      </c>
      <c r="H388">
        <v>8.1999999999999993</v>
      </c>
      <c r="I388">
        <v>83</v>
      </c>
      <c r="J388">
        <v>2.8</v>
      </c>
      <c r="K388">
        <v>8.15</v>
      </c>
      <c r="L388">
        <v>8.35</v>
      </c>
      <c r="M388">
        <f t="shared" si="6"/>
        <v>7.1</v>
      </c>
    </row>
    <row r="389" spans="1:13" x14ac:dyDescent="0.2">
      <c r="A389" t="s">
        <v>402</v>
      </c>
      <c r="B389">
        <v>24</v>
      </c>
      <c r="C389" t="s">
        <v>17</v>
      </c>
      <c r="D389">
        <v>6.7</v>
      </c>
      <c r="E389">
        <v>2.7</v>
      </c>
      <c r="F389">
        <v>3.3</v>
      </c>
      <c r="G389">
        <v>1.3</v>
      </c>
      <c r="H389">
        <v>6.1</v>
      </c>
      <c r="I389">
        <v>77</v>
      </c>
      <c r="J389">
        <v>2.6</v>
      </c>
      <c r="K389">
        <v>7.53</v>
      </c>
      <c r="L389">
        <v>7.73</v>
      </c>
      <c r="M389">
        <f t="shared" si="6"/>
        <v>5.9</v>
      </c>
    </row>
    <row r="390" spans="1:13" x14ac:dyDescent="0.2">
      <c r="A390" t="s">
        <v>403</v>
      </c>
      <c r="B390">
        <v>18</v>
      </c>
      <c r="C390" t="s">
        <v>17</v>
      </c>
      <c r="D390">
        <v>4.4000000000000004</v>
      </c>
      <c r="E390">
        <v>1.8</v>
      </c>
      <c r="F390">
        <v>5.6</v>
      </c>
      <c r="G390">
        <v>0.9</v>
      </c>
      <c r="H390">
        <v>7.2</v>
      </c>
      <c r="I390">
        <v>96</v>
      </c>
      <c r="J390">
        <v>3.2</v>
      </c>
      <c r="K390">
        <v>9.41</v>
      </c>
      <c r="L390">
        <v>9.61</v>
      </c>
      <c r="M390">
        <f t="shared" si="6"/>
        <v>8.8000000000000007</v>
      </c>
    </row>
    <row r="391" spans="1:13" x14ac:dyDescent="0.2">
      <c r="A391" t="s">
        <v>404</v>
      </c>
      <c r="B391">
        <v>20</v>
      </c>
      <c r="C391" t="s">
        <v>13</v>
      </c>
      <c r="D391">
        <v>8.6</v>
      </c>
      <c r="E391">
        <v>3.4</v>
      </c>
      <c r="F391">
        <v>1.4</v>
      </c>
      <c r="G391">
        <v>1.7</v>
      </c>
      <c r="H391">
        <v>5.4</v>
      </c>
      <c r="I391">
        <v>56</v>
      </c>
      <c r="J391">
        <v>1.9</v>
      </c>
      <c r="K391">
        <v>5.41</v>
      </c>
      <c r="L391">
        <v>5.61</v>
      </c>
      <c r="M391">
        <f t="shared" si="6"/>
        <v>3.3</v>
      </c>
    </row>
    <row r="392" spans="1:13" x14ac:dyDescent="0.2">
      <c r="A392" t="s">
        <v>405</v>
      </c>
      <c r="B392">
        <v>25</v>
      </c>
      <c r="C392" t="s">
        <v>17</v>
      </c>
      <c r="D392">
        <v>7.4</v>
      </c>
      <c r="E392">
        <v>3</v>
      </c>
      <c r="F392">
        <v>2.6</v>
      </c>
      <c r="G392">
        <v>1.5</v>
      </c>
      <c r="H392">
        <v>6.1</v>
      </c>
      <c r="I392">
        <v>79</v>
      </c>
      <c r="J392">
        <v>2.6</v>
      </c>
      <c r="K392">
        <v>7.72</v>
      </c>
      <c r="L392">
        <v>7.92</v>
      </c>
      <c r="M392">
        <f t="shared" si="6"/>
        <v>5.2</v>
      </c>
    </row>
    <row r="393" spans="1:13" x14ac:dyDescent="0.2">
      <c r="A393" t="s">
        <v>406</v>
      </c>
      <c r="B393">
        <v>21</v>
      </c>
      <c r="C393" t="s">
        <v>13</v>
      </c>
      <c r="D393">
        <v>9.9</v>
      </c>
      <c r="E393">
        <v>4</v>
      </c>
      <c r="F393">
        <v>0.1</v>
      </c>
      <c r="G393">
        <v>2</v>
      </c>
      <c r="H393">
        <v>6</v>
      </c>
      <c r="I393">
        <v>58</v>
      </c>
      <c r="J393">
        <v>1.9</v>
      </c>
      <c r="K393">
        <v>5.63</v>
      </c>
      <c r="L393">
        <v>5.83</v>
      </c>
      <c r="M393">
        <f t="shared" si="6"/>
        <v>2</v>
      </c>
    </row>
    <row r="394" spans="1:13" x14ac:dyDescent="0.2">
      <c r="A394" t="s">
        <v>407</v>
      </c>
      <c r="B394">
        <v>25</v>
      </c>
      <c r="C394" t="s">
        <v>17</v>
      </c>
      <c r="D394">
        <v>6</v>
      </c>
      <c r="E394">
        <v>2.4</v>
      </c>
      <c r="F394">
        <v>4</v>
      </c>
      <c r="G394">
        <v>1.2</v>
      </c>
      <c r="H394">
        <v>7.4</v>
      </c>
      <c r="I394">
        <v>71</v>
      </c>
      <c r="J394">
        <v>2.4</v>
      </c>
      <c r="K394">
        <v>6.97</v>
      </c>
      <c r="L394">
        <v>7.17</v>
      </c>
      <c r="M394">
        <f t="shared" si="6"/>
        <v>6.4</v>
      </c>
    </row>
    <row r="395" spans="1:13" x14ac:dyDescent="0.2">
      <c r="A395" t="s">
        <v>408</v>
      </c>
      <c r="B395">
        <v>22</v>
      </c>
      <c r="C395" t="s">
        <v>17</v>
      </c>
      <c r="D395">
        <v>4.9000000000000004</v>
      </c>
      <c r="E395">
        <v>2</v>
      </c>
      <c r="F395">
        <v>5.0999999999999996</v>
      </c>
      <c r="G395">
        <v>1</v>
      </c>
      <c r="H395">
        <v>7.4</v>
      </c>
      <c r="I395">
        <v>82</v>
      </c>
      <c r="J395">
        <v>2.8</v>
      </c>
      <c r="K395">
        <v>8.0500000000000007</v>
      </c>
      <c r="L395">
        <v>8.25</v>
      </c>
      <c r="M395">
        <f t="shared" si="6"/>
        <v>7.8999999999999995</v>
      </c>
    </row>
    <row r="396" spans="1:13" x14ac:dyDescent="0.2">
      <c r="A396" t="s">
        <v>409</v>
      </c>
      <c r="B396">
        <v>25</v>
      </c>
      <c r="C396" t="s">
        <v>17</v>
      </c>
      <c r="D396">
        <v>7.3</v>
      </c>
      <c r="E396">
        <v>2.9</v>
      </c>
      <c r="F396">
        <v>2.7</v>
      </c>
      <c r="G396">
        <v>1.5</v>
      </c>
      <c r="H396">
        <v>6.3</v>
      </c>
      <c r="I396">
        <v>79</v>
      </c>
      <c r="J396">
        <v>2.7</v>
      </c>
      <c r="K396">
        <v>7.78</v>
      </c>
      <c r="L396">
        <v>7.98</v>
      </c>
      <c r="M396">
        <f t="shared" si="6"/>
        <v>5.4</v>
      </c>
    </row>
    <row r="397" spans="1:13" x14ac:dyDescent="0.2">
      <c r="A397" t="s">
        <v>410</v>
      </c>
      <c r="B397">
        <v>18</v>
      </c>
      <c r="C397" t="s">
        <v>17</v>
      </c>
      <c r="D397">
        <v>8.1999999999999993</v>
      </c>
      <c r="E397">
        <v>3.3</v>
      </c>
      <c r="F397">
        <v>1.8</v>
      </c>
      <c r="G397">
        <v>1.6</v>
      </c>
      <c r="H397">
        <v>5.0999999999999996</v>
      </c>
      <c r="I397">
        <v>62</v>
      </c>
      <c r="J397">
        <v>2.1</v>
      </c>
      <c r="K397">
        <v>6.01</v>
      </c>
      <c r="L397">
        <v>6.21</v>
      </c>
      <c r="M397">
        <f t="shared" si="6"/>
        <v>3.9000000000000004</v>
      </c>
    </row>
    <row r="398" spans="1:13" x14ac:dyDescent="0.2">
      <c r="A398" t="s">
        <v>411</v>
      </c>
      <c r="B398">
        <v>18</v>
      </c>
      <c r="C398" t="s">
        <v>13</v>
      </c>
      <c r="D398">
        <v>6.6</v>
      </c>
      <c r="E398">
        <v>2.6</v>
      </c>
      <c r="F398">
        <v>3.4</v>
      </c>
      <c r="G398">
        <v>1.3</v>
      </c>
      <c r="H398">
        <v>7</v>
      </c>
      <c r="I398">
        <v>69</v>
      </c>
      <c r="J398">
        <v>2.2999999999999998</v>
      </c>
      <c r="K398">
        <v>6.77</v>
      </c>
      <c r="L398">
        <v>6.97</v>
      </c>
      <c r="M398">
        <f t="shared" si="6"/>
        <v>5.6999999999999993</v>
      </c>
    </row>
    <row r="399" spans="1:13" x14ac:dyDescent="0.2">
      <c r="A399" t="s">
        <v>412</v>
      </c>
      <c r="B399">
        <v>24</v>
      </c>
      <c r="C399" t="s">
        <v>17</v>
      </c>
      <c r="D399">
        <v>6.8</v>
      </c>
      <c r="E399">
        <v>2.7</v>
      </c>
      <c r="F399">
        <v>3.2</v>
      </c>
      <c r="G399">
        <v>1.4</v>
      </c>
      <c r="H399">
        <v>7</v>
      </c>
      <c r="I399">
        <v>72</v>
      </c>
      <c r="J399">
        <v>2.4</v>
      </c>
      <c r="K399">
        <v>7.09</v>
      </c>
      <c r="L399">
        <v>7.29</v>
      </c>
      <c r="M399">
        <f t="shared" si="6"/>
        <v>5.6</v>
      </c>
    </row>
    <row r="400" spans="1:13" x14ac:dyDescent="0.2">
      <c r="A400" t="s">
        <v>413</v>
      </c>
      <c r="B400">
        <v>17</v>
      </c>
      <c r="C400" t="s">
        <v>13</v>
      </c>
      <c r="D400">
        <v>7.1</v>
      </c>
      <c r="E400">
        <v>2.8</v>
      </c>
      <c r="F400">
        <v>2.9</v>
      </c>
      <c r="G400">
        <v>1.4</v>
      </c>
      <c r="H400">
        <v>6.7</v>
      </c>
      <c r="I400">
        <v>77</v>
      </c>
      <c r="J400">
        <v>2.6</v>
      </c>
      <c r="K400">
        <v>7.5699999999999896</v>
      </c>
      <c r="L400">
        <v>7.77</v>
      </c>
      <c r="M400">
        <f t="shared" si="6"/>
        <v>5.5</v>
      </c>
    </row>
    <row r="401" spans="1:13" x14ac:dyDescent="0.2">
      <c r="A401" t="s">
        <v>414</v>
      </c>
      <c r="B401">
        <v>20</v>
      </c>
      <c r="C401" t="s">
        <v>13</v>
      </c>
      <c r="D401">
        <v>6</v>
      </c>
      <c r="E401">
        <v>2.4</v>
      </c>
      <c r="F401">
        <v>4</v>
      </c>
      <c r="G401">
        <v>1.2</v>
      </c>
      <c r="H401">
        <v>6.8</v>
      </c>
      <c r="I401">
        <v>78</v>
      </c>
      <c r="J401">
        <v>2.6</v>
      </c>
      <c r="K401">
        <v>7.6499999999999897</v>
      </c>
      <c r="L401">
        <v>7.85</v>
      </c>
      <c r="M401">
        <f t="shared" si="6"/>
        <v>6.6</v>
      </c>
    </row>
    <row r="402" spans="1:13" x14ac:dyDescent="0.2">
      <c r="A402" t="s">
        <v>415</v>
      </c>
      <c r="B402">
        <v>25</v>
      </c>
      <c r="C402" t="s">
        <v>13</v>
      </c>
      <c r="D402">
        <v>4.0999999999999996</v>
      </c>
      <c r="E402">
        <v>1.6</v>
      </c>
      <c r="F402">
        <v>5.9</v>
      </c>
      <c r="G402">
        <v>0.8</v>
      </c>
      <c r="H402">
        <v>8</v>
      </c>
      <c r="I402">
        <v>80</v>
      </c>
      <c r="J402">
        <v>2.7</v>
      </c>
      <c r="K402">
        <v>7.85</v>
      </c>
      <c r="L402">
        <v>8.0500000000000007</v>
      </c>
      <c r="M402">
        <f t="shared" si="6"/>
        <v>8.6000000000000014</v>
      </c>
    </row>
    <row r="403" spans="1:13" x14ac:dyDescent="0.2">
      <c r="A403" t="s">
        <v>416</v>
      </c>
      <c r="B403">
        <v>24</v>
      </c>
      <c r="C403" t="s">
        <v>13</v>
      </c>
      <c r="D403">
        <v>9.9</v>
      </c>
      <c r="E403">
        <v>4</v>
      </c>
      <c r="F403">
        <v>0.1</v>
      </c>
      <c r="G403">
        <v>2</v>
      </c>
      <c r="H403">
        <v>5</v>
      </c>
      <c r="I403">
        <v>65</v>
      </c>
      <c r="J403">
        <v>2.2000000000000002</v>
      </c>
      <c r="K403">
        <v>6.3</v>
      </c>
      <c r="L403">
        <v>6.5</v>
      </c>
      <c r="M403">
        <f t="shared" si="6"/>
        <v>2.3000000000000003</v>
      </c>
    </row>
    <row r="404" spans="1:13" x14ac:dyDescent="0.2">
      <c r="A404" t="s">
        <v>417</v>
      </c>
      <c r="B404">
        <v>22</v>
      </c>
      <c r="C404" t="s">
        <v>17</v>
      </c>
      <c r="D404">
        <v>6.1</v>
      </c>
      <c r="E404">
        <v>2.4</v>
      </c>
      <c r="F404">
        <v>3.9</v>
      </c>
      <c r="G404">
        <v>1.2</v>
      </c>
      <c r="H404">
        <v>6.6</v>
      </c>
      <c r="I404">
        <v>71</v>
      </c>
      <c r="J404">
        <v>2.4</v>
      </c>
      <c r="K404">
        <v>6.9399999999999897</v>
      </c>
      <c r="L404">
        <v>7.14</v>
      </c>
      <c r="M404">
        <f t="shared" si="6"/>
        <v>6.3</v>
      </c>
    </row>
    <row r="405" spans="1:13" x14ac:dyDescent="0.2">
      <c r="A405" t="s">
        <v>418</v>
      </c>
      <c r="B405">
        <v>21</v>
      </c>
      <c r="C405" t="s">
        <v>17</v>
      </c>
      <c r="D405">
        <v>7.9</v>
      </c>
      <c r="E405">
        <v>3.2</v>
      </c>
      <c r="F405">
        <v>2.1</v>
      </c>
      <c r="G405">
        <v>1.6</v>
      </c>
      <c r="H405">
        <v>6.6</v>
      </c>
      <c r="I405">
        <v>77</v>
      </c>
      <c r="J405">
        <v>2.6</v>
      </c>
      <c r="K405">
        <v>7.59</v>
      </c>
      <c r="L405">
        <v>7.79</v>
      </c>
      <c r="M405">
        <f t="shared" si="6"/>
        <v>4.7</v>
      </c>
    </row>
    <row r="406" spans="1:13" x14ac:dyDescent="0.2">
      <c r="A406" t="s">
        <v>419</v>
      </c>
      <c r="B406">
        <v>20</v>
      </c>
      <c r="C406" t="s">
        <v>17</v>
      </c>
      <c r="D406">
        <v>5.2</v>
      </c>
      <c r="E406">
        <v>2.1</v>
      </c>
      <c r="F406">
        <v>4.8</v>
      </c>
      <c r="G406">
        <v>1</v>
      </c>
      <c r="H406">
        <v>7.1</v>
      </c>
      <c r="I406">
        <v>81</v>
      </c>
      <c r="J406">
        <v>2.7</v>
      </c>
      <c r="K406">
        <v>7.97</v>
      </c>
      <c r="L406">
        <v>8.17</v>
      </c>
      <c r="M406">
        <f t="shared" si="6"/>
        <v>7.5</v>
      </c>
    </row>
    <row r="407" spans="1:13" x14ac:dyDescent="0.2">
      <c r="A407" t="s">
        <v>420</v>
      </c>
      <c r="B407">
        <v>18</v>
      </c>
      <c r="C407" t="s">
        <v>13</v>
      </c>
      <c r="D407">
        <v>7.8</v>
      </c>
      <c r="E407">
        <v>3.1</v>
      </c>
      <c r="F407">
        <v>2.2000000000000002</v>
      </c>
      <c r="G407">
        <v>1.6</v>
      </c>
      <c r="H407">
        <v>6.6</v>
      </c>
      <c r="I407">
        <v>77</v>
      </c>
      <c r="J407">
        <v>2.6</v>
      </c>
      <c r="K407">
        <v>7.56</v>
      </c>
      <c r="L407">
        <v>7.76</v>
      </c>
      <c r="M407">
        <f t="shared" si="6"/>
        <v>4.8000000000000007</v>
      </c>
    </row>
    <row r="408" spans="1:13" x14ac:dyDescent="0.2">
      <c r="A408" t="s">
        <v>421</v>
      </c>
      <c r="B408">
        <v>19</v>
      </c>
      <c r="C408" t="s">
        <v>17</v>
      </c>
      <c r="D408">
        <v>6.7</v>
      </c>
      <c r="E408">
        <v>2.7</v>
      </c>
      <c r="F408">
        <v>3.3</v>
      </c>
      <c r="G408">
        <v>1.3</v>
      </c>
      <c r="H408">
        <v>6.2</v>
      </c>
      <c r="I408">
        <v>74</v>
      </c>
      <c r="J408">
        <v>2.5</v>
      </c>
      <c r="K408">
        <v>7.27</v>
      </c>
      <c r="L408">
        <v>7.47</v>
      </c>
      <c r="M408">
        <f t="shared" si="6"/>
        <v>5.8</v>
      </c>
    </row>
    <row r="409" spans="1:13" x14ac:dyDescent="0.2">
      <c r="A409" t="s">
        <v>422</v>
      </c>
      <c r="B409">
        <v>23</v>
      </c>
      <c r="C409" t="s">
        <v>13</v>
      </c>
      <c r="D409">
        <v>5.7</v>
      </c>
      <c r="E409">
        <v>2.2999999999999998</v>
      </c>
      <c r="F409">
        <v>4.3</v>
      </c>
      <c r="G409">
        <v>1.1000000000000001</v>
      </c>
      <c r="H409">
        <v>7.2</v>
      </c>
      <c r="I409">
        <v>97</v>
      </c>
      <c r="J409">
        <v>3.3</v>
      </c>
      <c r="K409">
        <v>9.57</v>
      </c>
      <c r="L409">
        <v>9.77</v>
      </c>
      <c r="M409">
        <f t="shared" si="6"/>
        <v>7.6</v>
      </c>
    </row>
    <row r="410" spans="1:13" x14ac:dyDescent="0.2">
      <c r="A410" t="s">
        <v>423</v>
      </c>
      <c r="B410">
        <v>20</v>
      </c>
      <c r="C410" t="s">
        <v>13</v>
      </c>
      <c r="D410">
        <v>6.2</v>
      </c>
      <c r="E410">
        <v>2.5</v>
      </c>
      <c r="F410">
        <v>3.8</v>
      </c>
      <c r="G410">
        <v>1.2</v>
      </c>
      <c r="H410">
        <v>7.2</v>
      </c>
      <c r="I410">
        <v>76</v>
      </c>
      <c r="J410">
        <v>2.6</v>
      </c>
      <c r="K410">
        <v>7.4799999999999898</v>
      </c>
      <c r="L410">
        <v>7.68</v>
      </c>
      <c r="M410">
        <f t="shared" si="6"/>
        <v>6.4</v>
      </c>
    </row>
    <row r="411" spans="1:13" x14ac:dyDescent="0.2">
      <c r="A411" t="s">
        <v>424</v>
      </c>
      <c r="B411">
        <v>17</v>
      </c>
      <c r="C411" t="s">
        <v>17</v>
      </c>
      <c r="D411">
        <v>7.7</v>
      </c>
      <c r="E411">
        <v>3.1</v>
      </c>
      <c r="F411">
        <v>2.2999999999999998</v>
      </c>
      <c r="G411">
        <v>1.5</v>
      </c>
      <c r="H411">
        <v>7.3</v>
      </c>
      <c r="I411">
        <v>69</v>
      </c>
      <c r="J411">
        <v>2.2999999999999998</v>
      </c>
      <c r="K411">
        <v>6.7</v>
      </c>
      <c r="L411">
        <v>6.9</v>
      </c>
      <c r="M411">
        <f t="shared" si="6"/>
        <v>4.5999999999999996</v>
      </c>
    </row>
    <row r="412" spans="1:13" x14ac:dyDescent="0.2">
      <c r="A412" t="s">
        <v>425</v>
      </c>
      <c r="B412">
        <v>20</v>
      </c>
      <c r="C412" t="s">
        <v>13</v>
      </c>
      <c r="D412">
        <v>6.9</v>
      </c>
      <c r="E412">
        <v>2.8</v>
      </c>
      <c r="F412">
        <v>3.1</v>
      </c>
      <c r="G412">
        <v>1.4</v>
      </c>
      <c r="H412">
        <v>7.1</v>
      </c>
      <c r="I412">
        <v>69</v>
      </c>
      <c r="J412">
        <v>2.2999999999999998</v>
      </c>
      <c r="K412">
        <v>6.75</v>
      </c>
      <c r="L412">
        <v>6.95</v>
      </c>
      <c r="M412">
        <f t="shared" si="6"/>
        <v>5.4</v>
      </c>
    </row>
    <row r="413" spans="1:13" x14ac:dyDescent="0.2">
      <c r="A413" t="s">
        <v>426</v>
      </c>
      <c r="B413">
        <v>25</v>
      </c>
      <c r="C413" t="s">
        <v>17</v>
      </c>
      <c r="D413">
        <v>9.3000000000000007</v>
      </c>
      <c r="E413">
        <v>3.7</v>
      </c>
      <c r="F413">
        <v>0.7</v>
      </c>
      <c r="G413">
        <v>1.9</v>
      </c>
      <c r="H413">
        <v>5.2</v>
      </c>
      <c r="I413">
        <v>60</v>
      </c>
      <c r="J413">
        <v>2</v>
      </c>
      <c r="K413">
        <v>5.8599999999999897</v>
      </c>
      <c r="L413">
        <v>6.06</v>
      </c>
      <c r="M413">
        <f t="shared" si="6"/>
        <v>2.7</v>
      </c>
    </row>
    <row r="414" spans="1:13" x14ac:dyDescent="0.2">
      <c r="A414" t="s">
        <v>427</v>
      </c>
      <c r="B414">
        <v>19</v>
      </c>
      <c r="C414" t="s">
        <v>17</v>
      </c>
      <c r="D414">
        <v>7.2</v>
      </c>
      <c r="E414">
        <v>2.9</v>
      </c>
      <c r="F414">
        <v>2.8</v>
      </c>
      <c r="G414">
        <v>1.4</v>
      </c>
      <c r="H414">
        <v>7.3</v>
      </c>
      <c r="I414">
        <v>76</v>
      </c>
      <c r="J414">
        <v>2.6</v>
      </c>
      <c r="K414">
        <v>7.46</v>
      </c>
      <c r="L414">
        <v>7.66</v>
      </c>
      <c r="M414">
        <f t="shared" si="6"/>
        <v>5.4</v>
      </c>
    </row>
    <row r="415" spans="1:13" x14ac:dyDescent="0.2">
      <c r="A415" t="s">
        <v>428</v>
      </c>
      <c r="B415">
        <v>19</v>
      </c>
      <c r="C415" t="s">
        <v>13</v>
      </c>
      <c r="D415">
        <v>6</v>
      </c>
      <c r="E415">
        <v>2.4</v>
      </c>
      <c r="F415">
        <v>4</v>
      </c>
      <c r="G415">
        <v>1.2</v>
      </c>
      <c r="H415">
        <v>7.4</v>
      </c>
      <c r="I415">
        <v>71</v>
      </c>
      <c r="J415">
        <v>2.4</v>
      </c>
      <c r="K415">
        <v>6.96</v>
      </c>
      <c r="L415">
        <v>7.16</v>
      </c>
      <c r="M415">
        <f t="shared" si="6"/>
        <v>6.4</v>
      </c>
    </row>
    <row r="416" spans="1:13" x14ac:dyDescent="0.2">
      <c r="A416" t="s">
        <v>429</v>
      </c>
      <c r="B416">
        <v>21</v>
      </c>
      <c r="C416" t="s">
        <v>13</v>
      </c>
      <c r="D416">
        <v>5.9</v>
      </c>
      <c r="E416">
        <v>2.4</v>
      </c>
      <c r="F416">
        <v>4.0999999999999996</v>
      </c>
      <c r="G416">
        <v>1.2</v>
      </c>
      <c r="H416">
        <v>8.1999999999999993</v>
      </c>
      <c r="I416">
        <v>87</v>
      </c>
      <c r="J416">
        <v>2.9</v>
      </c>
      <c r="K416">
        <v>8.5399999999999991</v>
      </c>
      <c r="L416">
        <v>8.74</v>
      </c>
      <c r="M416">
        <f t="shared" si="6"/>
        <v>7</v>
      </c>
    </row>
    <row r="417" spans="1:13" x14ac:dyDescent="0.2">
      <c r="A417" t="s">
        <v>430</v>
      </c>
      <c r="B417">
        <v>21</v>
      </c>
      <c r="C417" t="s">
        <v>13</v>
      </c>
      <c r="D417">
        <v>7</v>
      </c>
      <c r="E417">
        <v>2.8</v>
      </c>
      <c r="F417">
        <v>3</v>
      </c>
      <c r="G417">
        <v>1.4</v>
      </c>
      <c r="H417">
        <v>6.5</v>
      </c>
      <c r="I417">
        <v>77</v>
      </c>
      <c r="J417">
        <v>2.6</v>
      </c>
      <c r="K417">
        <v>7.59</v>
      </c>
      <c r="L417">
        <v>7.79</v>
      </c>
      <c r="M417">
        <f t="shared" si="6"/>
        <v>5.6</v>
      </c>
    </row>
    <row r="418" spans="1:13" x14ac:dyDescent="0.2">
      <c r="A418" t="s">
        <v>431</v>
      </c>
      <c r="B418">
        <v>18</v>
      </c>
      <c r="C418" t="s">
        <v>17</v>
      </c>
      <c r="D418">
        <v>9</v>
      </c>
      <c r="E418">
        <v>3.6</v>
      </c>
      <c r="F418">
        <v>1</v>
      </c>
      <c r="G418">
        <v>1.8</v>
      </c>
      <c r="H418">
        <v>5.4</v>
      </c>
      <c r="I418">
        <v>56</v>
      </c>
      <c r="J418">
        <v>1.9</v>
      </c>
      <c r="K418">
        <v>5.43</v>
      </c>
      <c r="L418">
        <v>5.63</v>
      </c>
      <c r="M418">
        <f t="shared" si="6"/>
        <v>2.9</v>
      </c>
    </row>
    <row r="419" spans="1:13" x14ac:dyDescent="0.2">
      <c r="A419" t="s">
        <v>432</v>
      </c>
      <c r="B419">
        <v>22</v>
      </c>
      <c r="C419" t="s">
        <v>17</v>
      </c>
      <c r="D419">
        <v>8.4</v>
      </c>
      <c r="E419">
        <v>3.4</v>
      </c>
      <c r="F419">
        <v>1.6</v>
      </c>
      <c r="G419">
        <v>1.7</v>
      </c>
      <c r="H419">
        <v>5.9</v>
      </c>
      <c r="I419">
        <v>57</v>
      </c>
      <c r="J419">
        <v>1.9</v>
      </c>
      <c r="K419">
        <v>5.55</v>
      </c>
      <c r="L419">
        <v>5.75</v>
      </c>
      <c r="M419">
        <f t="shared" si="6"/>
        <v>3.5</v>
      </c>
    </row>
    <row r="420" spans="1:13" x14ac:dyDescent="0.2">
      <c r="A420" t="s">
        <v>433</v>
      </c>
      <c r="B420">
        <v>17</v>
      </c>
      <c r="C420" t="s">
        <v>13</v>
      </c>
      <c r="D420">
        <v>9</v>
      </c>
      <c r="E420">
        <v>3.6</v>
      </c>
      <c r="F420">
        <v>1</v>
      </c>
      <c r="G420">
        <v>1.8</v>
      </c>
      <c r="H420">
        <v>6.5</v>
      </c>
      <c r="I420">
        <v>61</v>
      </c>
      <c r="J420">
        <v>2</v>
      </c>
      <c r="K420">
        <v>5.91</v>
      </c>
      <c r="L420">
        <v>6.11</v>
      </c>
      <c r="M420">
        <f t="shared" si="6"/>
        <v>3</v>
      </c>
    </row>
    <row r="421" spans="1:13" x14ac:dyDescent="0.2">
      <c r="A421" t="s">
        <v>434</v>
      </c>
      <c r="B421">
        <v>23</v>
      </c>
      <c r="C421" t="s">
        <v>13</v>
      </c>
      <c r="D421">
        <v>8.4</v>
      </c>
      <c r="E421">
        <v>3.4</v>
      </c>
      <c r="F421">
        <v>1.6</v>
      </c>
      <c r="G421">
        <v>1.7</v>
      </c>
      <c r="H421">
        <v>5.5</v>
      </c>
      <c r="I421">
        <v>56</v>
      </c>
      <c r="J421">
        <v>1.9</v>
      </c>
      <c r="K421">
        <v>5.4399999999999897</v>
      </c>
      <c r="L421">
        <v>5.64</v>
      </c>
      <c r="M421">
        <f t="shared" si="6"/>
        <v>3.5</v>
      </c>
    </row>
    <row r="422" spans="1:13" x14ac:dyDescent="0.2">
      <c r="A422" t="s">
        <v>435</v>
      </c>
      <c r="B422">
        <v>19</v>
      </c>
      <c r="C422" t="s">
        <v>13</v>
      </c>
      <c r="D422">
        <v>9.1</v>
      </c>
      <c r="E422">
        <v>3.6</v>
      </c>
      <c r="F422">
        <v>0.9</v>
      </c>
      <c r="G422">
        <v>1.8</v>
      </c>
      <c r="H422">
        <v>6.3</v>
      </c>
      <c r="I422">
        <v>58</v>
      </c>
      <c r="J422">
        <v>1.9</v>
      </c>
      <c r="K422">
        <v>5.6</v>
      </c>
      <c r="L422">
        <v>5.8</v>
      </c>
      <c r="M422">
        <f t="shared" si="6"/>
        <v>2.8</v>
      </c>
    </row>
    <row r="423" spans="1:13" x14ac:dyDescent="0.2">
      <c r="A423" t="s">
        <v>436</v>
      </c>
      <c r="B423">
        <v>19</v>
      </c>
      <c r="C423" t="s">
        <v>17</v>
      </c>
      <c r="D423">
        <v>9.1999999999999993</v>
      </c>
      <c r="E423">
        <v>3.7</v>
      </c>
      <c r="F423">
        <v>0.8</v>
      </c>
      <c r="G423">
        <v>1.8</v>
      </c>
      <c r="H423">
        <v>5.5</v>
      </c>
      <c r="I423">
        <v>57</v>
      </c>
      <c r="J423">
        <v>1.9</v>
      </c>
      <c r="K423">
        <v>5.58</v>
      </c>
      <c r="L423">
        <v>5.78</v>
      </c>
      <c r="M423">
        <f t="shared" si="6"/>
        <v>2.7</v>
      </c>
    </row>
    <row r="424" spans="1:13" x14ac:dyDescent="0.2">
      <c r="A424" t="s">
        <v>437</v>
      </c>
      <c r="B424">
        <v>23</v>
      </c>
      <c r="C424" t="s">
        <v>17</v>
      </c>
      <c r="D424">
        <v>5.8</v>
      </c>
      <c r="E424">
        <v>2.2999999999999998</v>
      </c>
      <c r="F424">
        <v>4.2</v>
      </c>
      <c r="G424">
        <v>1.2</v>
      </c>
      <c r="H424">
        <v>8.4</v>
      </c>
      <c r="I424">
        <v>91</v>
      </c>
      <c r="J424">
        <v>3</v>
      </c>
      <c r="K424">
        <v>8.91</v>
      </c>
      <c r="L424">
        <v>9.11</v>
      </c>
      <c r="M424">
        <f t="shared" si="6"/>
        <v>7.2</v>
      </c>
    </row>
    <row r="425" spans="1:13" x14ac:dyDescent="0.2">
      <c r="A425" t="s">
        <v>438</v>
      </c>
      <c r="B425">
        <v>22</v>
      </c>
      <c r="C425" t="s">
        <v>17</v>
      </c>
      <c r="D425">
        <v>8.6999999999999993</v>
      </c>
      <c r="E425">
        <v>3.5</v>
      </c>
      <c r="F425">
        <v>1.3</v>
      </c>
      <c r="G425">
        <v>1.7</v>
      </c>
      <c r="H425">
        <v>5.4</v>
      </c>
      <c r="I425">
        <v>63</v>
      </c>
      <c r="J425">
        <v>2.1</v>
      </c>
      <c r="K425">
        <v>6.16</v>
      </c>
      <c r="L425">
        <v>6.36</v>
      </c>
      <c r="M425">
        <f t="shared" si="6"/>
        <v>3.4000000000000004</v>
      </c>
    </row>
    <row r="426" spans="1:13" x14ac:dyDescent="0.2">
      <c r="A426" t="s">
        <v>439</v>
      </c>
      <c r="B426">
        <v>20</v>
      </c>
      <c r="C426" t="s">
        <v>17</v>
      </c>
      <c r="D426">
        <v>4</v>
      </c>
      <c r="E426">
        <v>1.6</v>
      </c>
      <c r="F426">
        <v>6</v>
      </c>
      <c r="G426">
        <v>0.8</v>
      </c>
      <c r="H426">
        <v>7.6</v>
      </c>
      <c r="I426">
        <v>81</v>
      </c>
      <c r="J426">
        <v>2.7</v>
      </c>
      <c r="K426">
        <v>7.94</v>
      </c>
      <c r="L426">
        <v>8.14</v>
      </c>
      <c r="M426">
        <f t="shared" si="6"/>
        <v>8.6999999999999993</v>
      </c>
    </row>
    <row r="427" spans="1:13" x14ac:dyDescent="0.2">
      <c r="A427" t="s">
        <v>440</v>
      </c>
      <c r="B427">
        <v>17</v>
      </c>
      <c r="C427" t="s">
        <v>17</v>
      </c>
      <c r="D427">
        <v>7.3</v>
      </c>
      <c r="E427">
        <v>2.9</v>
      </c>
      <c r="F427">
        <v>2.7</v>
      </c>
      <c r="G427">
        <v>1.5</v>
      </c>
      <c r="H427">
        <v>7.5</v>
      </c>
      <c r="I427">
        <v>72</v>
      </c>
      <c r="J427">
        <v>2.4</v>
      </c>
      <c r="K427">
        <v>7.06</v>
      </c>
      <c r="L427">
        <v>7.26</v>
      </c>
      <c r="M427">
        <f t="shared" si="6"/>
        <v>5.0999999999999996</v>
      </c>
    </row>
    <row r="428" spans="1:13" x14ac:dyDescent="0.2">
      <c r="A428" t="s">
        <v>441</v>
      </c>
      <c r="B428">
        <v>25</v>
      </c>
      <c r="C428" t="s">
        <v>17</v>
      </c>
      <c r="D428">
        <v>6.5</v>
      </c>
      <c r="E428">
        <v>2.6</v>
      </c>
      <c r="F428">
        <v>3.5</v>
      </c>
      <c r="G428">
        <v>1.3</v>
      </c>
      <c r="H428">
        <v>7.4</v>
      </c>
      <c r="I428">
        <v>68</v>
      </c>
      <c r="J428">
        <v>2.2999999999999998</v>
      </c>
      <c r="K428">
        <v>6.63</v>
      </c>
      <c r="L428">
        <v>6.83</v>
      </c>
      <c r="M428">
        <f t="shared" si="6"/>
        <v>5.8</v>
      </c>
    </row>
    <row r="429" spans="1:13" x14ac:dyDescent="0.2">
      <c r="A429" t="s">
        <v>442</v>
      </c>
      <c r="B429">
        <v>23</v>
      </c>
      <c r="C429" t="s">
        <v>13</v>
      </c>
      <c r="D429">
        <v>9.8000000000000007</v>
      </c>
      <c r="E429">
        <v>3.9</v>
      </c>
      <c r="F429">
        <v>0.2</v>
      </c>
      <c r="G429">
        <v>2</v>
      </c>
      <c r="H429">
        <v>6</v>
      </c>
      <c r="I429">
        <v>65</v>
      </c>
      <c r="J429">
        <v>2.2000000000000002</v>
      </c>
      <c r="K429">
        <v>6.37</v>
      </c>
      <c r="L429">
        <v>6.57</v>
      </c>
      <c r="M429">
        <f t="shared" si="6"/>
        <v>2.4000000000000004</v>
      </c>
    </row>
    <row r="430" spans="1:13" x14ac:dyDescent="0.2">
      <c r="A430" t="s">
        <v>443</v>
      </c>
      <c r="B430">
        <v>20</v>
      </c>
      <c r="C430" t="s">
        <v>13</v>
      </c>
      <c r="D430">
        <v>8.4</v>
      </c>
      <c r="E430">
        <v>3.4</v>
      </c>
      <c r="F430">
        <v>1.6</v>
      </c>
      <c r="G430">
        <v>1.7</v>
      </c>
      <c r="H430">
        <v>6.2</v>
      </c>
      <c r="I430">
        <v>59</v>
      </c>
      <c r="J430">
        <v>2</v>
      </c>
      <c r="K430">
        <v>5.7</v>
      </c>
      <c r="L430">
        <v>5.9</v>
      </c>
      <c r="M430">
        <f t="shared" si="6"/>
        <v>3.6</v>
      </c>
    </row>
    <row r="431" spans="1:13" x14ac:dyDescent="0.2">
      <c r="A431" t="s">
        <v>444</v>
      </c>
      <c r="B431">
        <v>25</v>
      </c>
      <c r="C431" t="s">
        <v>13</v>
      </c>
      <c r="D431">
        <v>5.3</v>
      </c>
      <c r="E431">
        <v>2.1</v>
      </c>
      <c r="F431">
        <v>4.7</v>
      </c>
      <c r="G431">
        <v>1.1000000000000001</v>
      </c>
      <c r="H431">
        <v>7.1</v>
      </c>
      <c r="I431">
        <v>80</v>
      </c>
      <c r="J431">
        <v>2.7</v>
      </c>
      <c r="K431">
        <v>7.8399999999999901</v>
      </c>
      <c r="L431">
        <v>8.0399999999999991</v>
      </c>
      <c r="M431">
        <f t="shared" si="6"/>
        <v>7.4</v>
      </c>
    </row>
    <row r="432" spans="1:13" x14ac:dyDescent="0.2">
      <c r="A432" t="s">
        <v>445</v>
      </c>
      <c r="B432">
        <v>19</v>
      </c>
      <c r="C432" t="s">
        <v>17</v>
      </c>
      <c r="D432">
        <v>7.4</v>
      </c>
      <c r="E432">
        <v>3</v>
      </c>
      <c r="F432">
        <v>2.6</v>
      </c>
      <c r="G432">
        <v>1.5</v>
      </c>
      <c r="H432">
        <v>7.2</v>
      </c>
      <c r="I432">
        <v>71</v>
      </c>
      <c r="J432">
        <v>2.4</v>
      </c>
      <c r="K432">
        <v>6.9399999999999897</v>
      </c>
      <c r="L432">
        <v>7.14</v>
      </c>
      <c r="M432">
        <f t="shared" si="6"/>
        <v>5</v>
      </c>
    </row>
    <row r="433" spans="1:13" x14ac:dyDescent="0.2">
      <c r="A433" t="s">
        <v>446</v>
      </c>
      <c r="B433">
        <v>24</v>
      </c>
      <c r="C433" t="s">
        <v>13</v>
      </c>
      <c r="D433">
        <v>5.8</v>
      </c>
      <c r="E433">
        <v>2.2999999999999998</v>
      </c>
      <c r="F433">
        <v>4.2</v>
      </c>
      <c r="G433">
        <v>1.2</v>
      </c>
      <c r="H433">
        <v>7.1</v>
      </c>
      <c r="I433">
        <v>92</v>
      </c>
      <c r="J433">
        <v>3.1</v>
      </c>
      <c r="K433">
        <v>9.09</v>
      </c>
      <c r="L433">
        <v>9.2899999999999991</v>
      </c>
      <c r="M433">
        <f t="shared" si="6"/>
        <v>7.3000000000000007</v>
      </c>
    </row>
    <row r="434" spans="1:13" x14ac:dyDescent="0.2">
      <c r="A434" t="s">
        <v>447</v>
      </c>
      <c r="B434">
        <v>17</v>
      </c>
      <c r="C434" t="s">
        <v>13</v>
      </c>
      <c r="D434">
        <v>8</v>
      </c>
      <c r="E434">
        <v>3.2</v>
      </c>
      <c r="F434">
        <v>2</v>
      </c>
      <c r="G434">
        <v>1.6</v>
      </c>
      <c r="H434">
        <v>6.3</v>
      </c>
      <c r="I434">
        <v>62</v>
      </c>
      <c r="J434">
        <v>2.1</v>
      </c>
      <c r="K434">
        <v>6.0699999999999896</v>
      </c>
      <c r="L434">
        <v>6.27</v>
      </c>
      <c r="M434">
        <f t="shared" si="6"/>
        <v>4.0999999999999996</v>
      </c>
    </row>
    <row r="435" spans="1:13" x14ac:dyDescent="0.2">
      <c r="A435" t="s">
        <v>448</v>
      </c>
      <c r="B435">
        <v>21</v>
      </c>
      <c r="C435" t="s">
        <v>17</v>
      </c>
      <c r="D435">
        <v>4.2</v>
      </c>
      <c r="E435">
        <v>1.7</v>
      </c>
      <c r="F435">
        <v>5.8</v>
      </c>
      <c r="G435">
        <v>0.8</v>
      </c>
      <c r="H435">
        <v>8.5</v>
      </c>
      <c r="I435">
        <v>89</v>
      </c>
      <c r="J435">
        <v>3</v>
      </c>
      <c r="K435">
        <v>8.77</v>
      </c>
      <c r="L435">
        <v>8.9700000000000006</v>
      </c>
      <c r="M435">
        <f t="shared" si="6"/>
        <v>8.8000000000000007</v>
      </c>
    </row>
    <row r="436" spans="1:13" x14ac:dyDescent="0.2">
      <c r="A436" t="s">
        <v>449</v>
      </c>
      <c r="B436">
        <v>21</v>
      </c>
      <c r="C436" t="s">
        <v>17</v>
      </c>
      <c r="D436">
        <v>8</v>
      </c>
      <c r="E436">
        <v>3.2</v>
      </c>
      <c r="F436">
        <v>2</v>
      </c>
      <c r="G436">
        <v>1.6</v>
      </c>
      <c r="H436">
        <v>5.3</v>
      </c>
      <c r="I436">
        <v>58</v>
      </c>
      <c r="J436">
        <v>1.9</v>
      </c>
      <c r="K436">
        <v>5.63</v>
      </c>
      <c r="L436">
        <v>5.83</v>
      </c>
      <c r="M436">
        <f t="shared" si="6"/>
        <v>3.9</v>
      </c>
    </row>
    <row r="437" spans="1:13" x14ac:dyDescent="0.2">
      <c r="A437" t="s">
        <v>450</v>
      </c>
      <c r="B437">
        <v>24</v>
      </c>
      <c r="C437" t="s">
        <v>13</v>
      </c>
      <c r="D437">
        <v>7.2</v>
      </c>
      <c r="E437">
        <v>2.9</v>
      </c>
      <c r="F437">
        <v>2.8</v>
      </c>
      <c r="G437">
        <v>1.4</v>
      </c>
      <c r="H437">
        <v>7.3</v>
      </c>
      <c r="I437">
        <v>68</v>
      </c>
      <c r="J437">
        <v>2.2999999999999998</v>
      </c>
      <c r="K437">
        <v>6.64</v>
      </c>
      <c r="L437">
        <v>6.84</v>
      </c>
      <c r="M437">
        <f t="shared" si="6"/>
        <v>5.0999999999999996</v>
      </c>
    </row>
    <row r="438" spans="1:13" x14ac:dyDescent="0.2">
      <c r="A438" t="s">
        <v>451</v>
      </c>
      <c r="B438">
        <v>25</v>
      </c>
      <c r="C438" t="s">
        <v>17</v>
      </c>
      <c r="D438">
        <v>7.4</v>
      </c>
      <c r="E438">
        <v>3</v>
      </c>
      <c r="F438">
        <v>2.6</v>
      </c>
      <c r="G438">
        <v>1.5</v>
      </c>
      <c r="H438">
        <v>6.6</v>
      </c>
      <c r="I438">
        <v>74</v>
      </c>
      <c r="J438">
        <v>2.5</v>
      </c>
      <c r="K438">
        <v>7.22</v>
      </c>
      <c r="L438">
        <v>7.42</v>
      </c>
      <c r="M438">
        <f t="shared" si="6"/>
        <v>5.0999999999999996</v>
      </c>
    </row>
    <row r="439" spans="1:13" x14ac:dyDescent="0.2">
      <c r="A439" t="s">
        <v>452</v>
      </c>
      <c r="B439">
        <v>22</v>
      </c>
      <c r="C439" t="s">
        <v>13</v>
      </c>
      <c r="D439">
        <v>9.4</v>
      </c>
      <c r="E439">
        <v>3.8</v>
      </c>
      <c r="F439">
        <v>0.6</v>
      </c>
      <c r="G439">
        <v>1.9</v>
      </c>
      <c r="H439">
        <v>5.9</v>
      </c>
      <c r="I439">
        <v>60</v>
      </c>
      <c r="J439">
        <v>2</v>
      </c>
      <c r="K439">
        <v>5.88</v>
      </c>
      <c r="L439">
        <v>6.08</v>
      </c>
      <c r="M439">
        <f t="shared" si="6"/>
        <v>2.6</v>
      </c>
    </row>
    <row r="440" spans="1:13" x14ac:dyDescent="0.2">
      <c r="A440" t="s">
        <v>453</v>
      </c>
      <c r="B440">
        <v>22</v>
      </c>
      <c r="C440" t="s">
        <v>13</v>
      </c>
      <c r="D440">
        <v>8.6999999999999993</v>
      </c>
      <c r="E440">
        <v>3.5</v>
      </c>
      <c r="F440">
        <v>1.3</v>
      </c>
      <c r="G440">
        <v>1.7</v>
      </c>
      <c r="H440">
        <v>6</v>
      </c>
      <c r="I440">
        <v>63</v>
      </c>
      <c r="J440">
        <v>2.1</v>
      </c>
      <c r="K440">
        <v>6.13</v>
      </c>
      <c r="L440">
        <v>6.33</v>
      </c>
      <c r="M440">
        <f t="shared" si="6"/>
        <v>3.4000000000000004</v>
      </c>
    </row>
    <row r="441" spans="1:13" x14ac:dyDescent="0.2">
      <c r="A441" t="s">
        <v>454</v>
      </c>
      <c r="B441">
        <v>23</v>
      </c>
      <c r="C441" t="s">
        <v>17</v>
      </c>
      <c r="D441">
        <v>6.9</v>
      </c>
      <c r="E441">
        <v>2.8</v>
      </c>
      <c r="F441">
        <v>3.1</v>
      </c>
      <c r="G441">
        <v>1.4</v>
      </c>
      <c r="H441">
        <v>7.4</v>
      </c>
      <c r="I441">
        <v>75</v>
      </c>
      <c r="J441">
        <v>2.5</v>
      </c>
      <c r="K441">
        <v>7.38</v>
      </c>
      <c r="L441">
        <v>7.58</v>
      </c>
      <c r="M441">
        <f t="shared" si="6"/>
        <v>5.6</v>
      </c>
    </row>
    <row r="442" spans="1:13" x14ac:dyDescent="0.2">
      <c r="A442" t="s">
        <v>455</v>
      </c>
      <c r="B442">
        <v>18</v>
      </c>
      <c r="C442" t="s">
        <v>17</v>
      </c>
      <c r="D442">
        <v>7</v>
      </c>
      <c r="E442">
        <v>2.8</v>
      </c>
      <c r="F442">
        <v>3</v>
      </c>
      <c r="G442">
        <v>1.4</v>
      </c>
      <c r="H442">
        <v>6.1</v>
      </c>
      <c r="I442">
        <v>75</v>
      </c>
      <c r="J442">
        <v>2.5</v>
      </c>
      <c r="K442">
        <v>7.3599999999999897</v>
      </c>
      <c r="L442">
        <v>7.56</v>
      </c>
      <c r="M442">
        <f t="shared" si="6"/>
        <v>5.5</v>
      </c>
    </row>
    <row r="443" spans="1:13" x14ac:dyDescent="0.2">
      <c r="A443" t="s">
        <v>456</v>
      </c>
      <c r="B443">
        <v>17</v>
      </c>
      <c r="C443" t="s">
        <v>17</v>
      </c>
      <c r="D443">
        <v>4.2</v>
      </c>
      <c r="E443">
        <v>1.7</v>
      </c>
      <c r="F443">
        <v>5.8</v>
      </c>
      <c r="G443">
        <v>0.8</v>
      </c>
      <c r="H443">
        <v>8.4</v>
      </c>
      <c r="I443">
        <v>90</v>
      </c>
      <c r="J443">
        <v>3</v>
      </c>
      <c r="K443">
        <v>8.81</v>
      </c>
      <c r="L443">
        <v>9.01</v>
      </c>
      <c r="M443">
        <f t="shared" si="6"/>
        <v>8.8000000000000007</v>
      </c>
    </row>
    <row r="444" spans="1:13" x14ac:dyDescent="0.2">
      <c r="A444" t="s">
        <v>457</v>
      </c>
      <c r="B444">
        <v>20</v>
      </c>
      <c r="C444" t="s">
        <v>13</v>
      </c>
      <c r="D444">
        <v>6</v>
      </c>
      <c r="E444">
        <v>2.4</v>
      </c>
      <c r="F444">
        <v>4</v>
      </c>
      <c r="G444">
        <v>1.2</v>
      </c>
      <c r="H444">
        <v>6.3</v>
      </c>
      <c r="I444">
        <v>73</v>
      </c>
      <c r="J444">
        <v>2.5</v>
      </c>
      <c r="K444">
        <v>7.18</v>
      </c>
      <c r="L444">
        <v>7.38</v>
      </c>
      <c r="M444">
        <f t="shared" si="6"/>
        <v>6.5</v>
      </c>
    </row>
    <row r="445" spans="1:13" x14ac:dyDescent="0.2">
      <c r="A445" t="s">
        <v>458</v>
      </c>
      <c r="B445">
        <v>24</v>
      </c>
      <c r="C445" t="s">
        <v>17</v>
      </c>
      <c r="D445">
        <v>7.5</v>
      </c>
      <c r="E445">
        <v>3</v>
      </c>
      <c r="F445">
        <v>2.5</v>
      </c>
      <c r="G445">
        <v>1.5</v>
      </c>
      <c r="H445">
        <v>7.3</v>
      </c>
      <c r="I445">
        <v>74</v>
      </c>
      <c r="J445">
        <v>2.5</v>
      </c>
      <c r="K445">
        <v>7.24</v>
      </c>
      <c r="L445">
        <v>7.44</v>
      </c>
      <c r="M445">
        <f t="shared" si="6"/>
        <v>5</v>
      </c>
    </row>
    <row r="446" spans="1:13" x14ac:dyDescent="0.2">
      <c r="A446" t="s">
        <v>459</v>
      </c>
      <c r="B446">
        <v>17</v>
      </c>
      <c r="C446" t="s">
        <v>13</v>
      </c>
      <c r="D446">
        <v>9.1</v>
      </c>
      <c r="E446">
        <v>3.6</v>
      </c>
      <c r="F446">
        <v>0.9</v>
      </c>
      <c r="G446">
        <v>1.8</v>
      </c>
      <c r="H446">
        <v>5.7</v>
      </c>
      <c r="I446">
        <v>58</v>
      </c>
      <c r="J446">
        <v>2</v>
      </c>
      <c r="K446">
        <v>5.67</v>
      </c>
      <c r="L446">
        <v>5.87</v>
      </c>
      <c r="M446">
        <f t="shared" si="6"/>
        <v>2.9</v>
      </c>
    </row>
    <row r="447" spans="1:13" x14ac:dyDescent="0.2">
      <c r="A447" t="s">
        <v>460</v>
      </c>
      <c r="B447">
        <v>24</v>
      </c>
      <c r="C447" t="s">
        <v>17</v>
      </c>
      <c r="D447">
        <v>7.1</v>
      </c>
      <c r="E447">
        <v>2.8</v>
      </c>
      <c r="F447">
        <v>2.9</v>
      </c>
      <c r="G447">
        <v>1.4</v>
      </c>
      <c r="H447">
        <v>7.4</v>
      </c>
      <c r="I447">
        <v>71</v>
      </c>
      <c r="J447">
        <v>2.4</v>
      </c>
      <c r="K447">
        <v>6.95</v>
      </c>
      <c r="L447">
        <v>7.15</v>
      </c>
      <c r="M447">
        <f t="shared" si="6"/>
        <v>5.3</v>
      </c>
    </row>
    <row r="448" spans="1:13" x14ac:dyDescent="0.2">
      <c r="A448" t="s">
        <v>461</v>
      </c>
      <c r="B448">
        <v>23</v>
      </c>
      <c r="C448" t="s">
        <v>17</v>
      </c>
      <c r="D448">
        <v>5.7</v>
      </c>
      <c r="E448">
        <v>2.2999999999999998</v>
      </c>
      <c r="F448">
        <v>4.3</v>
      </c>
      <c r="G448">
        <v>1.1000000000000001</v>
      </c>
      <c r="H448">
        <v>7.8</v>
      </c>
      <c r="I448">
        <v>94</v>
      </c>
      <c r="J448">
        <v>3.1</v>
      </c>
      <c r="K448">
        <v>9.24</v>
      </c>
      <c r="L448">
        <v>9.44</v>
      </c>
      <c r="M448">
        <f t="shared" si="6"/>
        <v>7.4</v>
      </c>
    </row>
    <row r="449" spans="1:13" x14ac:dyDescent="0.2">
      <c r="A449" t="s">
        <v>462</v>
      </c>
      <c r="B449">
        <v>24</v>
      </c>
      <c r="C449" t="s">
        <v>13</v>
      </c>
      <c r="D449">
        <v>4.2</v>
      </c>
      <c r="E449">
        <v>1.7</v>
      </c>
      <c r="F449">
        <v>5.8</v>
      </c>
      <c r="G449">
        <v>0.8</v>
      </c>
      <c r="H449">
        <v>7.1</v>
      </c>
      <c r="I449">
        <v>91</v>
      </c>
      <c r="J449">
        <v>3.1</v>
      </c>
      <c r="K449">
        <v>8.9499999999999993</v>
      </c>
      <c r="L449">
        <v>9.15</v>
      </c>
      <c r="M449">
        <f t="shared" si="6"/>
        <v>8.9</v>
      </c>
    </row>
    <row r="450" spans="1:13" x14ac:dyDescent="0.2">
      <c r="A450" t="s">
        <v>463</v>
      </c>
      <c r="B450">
        <v>23</v>
      </c>
      <c r="C450" t="s">
        <v>13</v>
      </c>
      <c r="D450">
        <v>8.4</v>
      </c>
      <c r="E450">
        <v>3.4</v>
      </c>
      <c r="F450">
        <v>1.6</v>
      </c>
      <c r="G450">
        <v>1.7</v>
      </c>
      <c r="H450">
        <v>6</v>
      </c>
      <c r="I450">
        <v>66</v>
      </c>
      <c r="J450">
        <v>2.2000000000000002</v>
      </c>
      <c r="K450">
        <v>6.45</v>
      </c>
      <c r="L450">
        <v>6.65</v>
      </c>
      <c r="M450">
        <f t="shared" ref="M450:M513" si="7">F450+J450</f>
        <v>3.8000000000000003</v>
      </c>
    </row>
    <row r="451" spans="1:13" x14ac:dyDescent="0.2">
      <c r="A451" t="s">
        <v>464</v>
      </c>
      <c r="B451">
        <v>23</v>
      </c>
      <c r="C451" t="s">
        <v>17</v>
      </c>
      <c r="D451">
        <v>8.9</v>
      </c>
      <c r="E451">
        <v>3.6</v>
      </c>
      <c r="F451">
        <v>1.1000000000000001</v>
      </c>
      <c r="G451">
        <v>1.8</v>
      </c>
      <c r="H451">
        <v>6</v>
      </c>
      <c r="I451">
        <v>55</v>
      </c>
      <c r="J451">
        <v>1.8</v>
      </c>
      <c r="K451">
        <v>5.3</v>
      </c>
      <c r="L451">
        <v>5.5</v>
      </c>
      <c r="M451">
        <f t="shared" si="7"/>
        <v>2.9000000000000004</v>
      </c>
    </row>
    <row r="452" spans="1:13" x14ac:dyDescent="0.2">
      <c r="A452" t="s">
        <v>465</v>
      </c>
      <c r="B452">
        <v>20</v>
      </c>
      <c r="C452" t="s">
        <v>13</v>
      </c>
      <c r="D452">
        <v>7.6</v>
      </c>
      <c r="E452">
        <v>3</v>
      </c>
      <c r="F452">
        <v>2.4</v>
      </c>
      <c r="G452">
        <v>1.5</v>
      </c>
      <c r="H452">
        <v>6.2</v>
      </c>
      <c r="I452">
        <v>76</v>
      </c>
      <c r="J452">
        <v>2.5</v>
      </c>
      <c r="K452">
        <v>7.42</v>
      </c>
      <c r="L452">
        <v>7.62</v>
      </c>
      <c r="M452">
        <f t="shared" si="7"/>
        <v>4.9000000000000004</v>
      </c>
    </row>
    <row r="453" spans="1:13" x14ac:dyDescent="0.2">
      <c r="A453" t="s">
        <v>466</v>
      </c>
      <c r="B453">
        <v>17</v>
      </c>
      <c r="C453" t="s">
        <v>13</v>
      </c>
      <c r="D453">
        <v>4.5999999999999996</v>
      </c>
      <c r="E453">
        <v>1.8</v>
      </c>
      <c r="F453">
        <v>5.4</v>
      </c>
      <c r="G453">
        <v>0.9</v>
      </c>
      <c r="H453">
        <v>7.8</v>
      </c>
      <c r="I453">
        <v>89</v>
      </c>
      <c r="J453">
        <v>3</v>
      </c>
      <c r="K453">
        <v>8.7899999999999991</v>
      </c>
      <c r="L453">
        <v>8.99</v>
      </c>
      <c r="M453">
        <f t="shared" si="7"/>
        <v>8.4</v>
      </c>
    </row>
    <row r="454" spans="1:13" x14ac:dyDescent="0.2">
      <c r="A454" t="s">
        <v>467</v>
      </c>
      <c r="B454">
        <v>18</v>
      </c>
      <c r="C454" t="s">
        <v>17</v>
      </c>
      <c r="D454">
        <v>4.5</v>
      </c>
      <c r="E454">
        <v>1.8</v>
      </c>
      <c r="F454">
        <v>5.5</v>
      </c>
      <c r="G454">
        <v>0.9</v>
      </c>
      <c r="H454">
        <v>8.4</v>
      </c>
      <c r="I454">
        <v>85</v>
      </c>
      <c r="J454">
        <v>2.8</v>
      </c>
      <c r="K454">
        <v>8.31</v>
      </c>
      <c r="L454">
        <v>8.51</v>
      </c>
      <c r="M454">
        <f t="shared" si="7"/>
        <v>8.3000000000000007</v>
      </c>
    </row>
    <row r="455" spans="1:13" x14ac:dyDescent="0.2">
      <c r="A455" t="s">
        <v>468</v>
      </c>
      <c r="B455">
        <v>25</v>
      </c>
      <c r="C455" t="s">
        <v>17</v>
      </c>
      <c r="D455">
        <v>7.6</v>
      </c>
      <c r="E455">
        <v>3</v>
      </c>
      <c r="F455">
        <v>2.4</v>
      </c>
      <c r="G455">
        <v>1.5</v>
      </c>
      <c r="H455">
        <v>7</v>
      </c>
      <c r="I455">
        <v>68</v>
      </c>
      <c r="J455">
        <v>2.2999999999999998</v>
      </c>
      <c r="K455">
        <v>6.6099999999999897</v>
      </c>
      <c r="L455">
        <v>6.81</v>
      </c>
      <c r="M455">
        <f t="shared" si="7"/>
        <v>4.6999999999999993</v>
      </c>
    </row>
    <row r="456" spans="1:13" x14ac:dyDescent="0.2">
      <c r="A456" t="s">
        <v>469</v>
      </c>
      <c r="B456">
        <v>18</v>
      </c>
      <c r="C456" t="s">
        <v>17</v>
      </c>
      <c r="D456">
        <v>4.9000000000000004</v>
      </c>
      <c r="E456">
        <v>2</v>
      </c>
      <c r="F456">
        <v>5.0999999999999996</v>
      </c>
      <c r="G456">
        <v>1</v>
      </c>
      <c r="H456">
        <v>8</v>
      </c>
      <c r="I456">
        <v>81</v>
      </c>
      <c r="J456">
        <v>2.7</v>
      </c>
      <c r="K456">
        <v>7.94</v>
      </c>
      <c r="L456">
        <v>8.14</v>
      </c>
      <c r="M456">
        <f t="shared" si="7"/>
        <v>7.8</v>
      </c>
    </row>
    <row r="457" spans="1:13" x14ac:dyDescent="0.2">
      <c r="A457" t="s">
        <v>470</v>
      </c>
      <c r="B457">
        <v>25</v>
      </c>
      <c r="C457" t="s">
        <v>13</v>
      </c>
      <c r="D457">
        <v>4.4000000000000004</v>
      </c>
      <c r="E457">
        <v>1.8</v>
      </c>
      <c r="F457">
        <v>5.6</v>
      </c>
      <c r="G457">
        <v>0.9</v>
      </c>
      <c r="H457">
        <v>7.2</v>
      </c>
      <c r="I457">
        <v>88</v>
      </c>
      <c r="J457">
        <v>3</v>
      </c>
      <c r="K457">
        <v>8.67</v>
      </c>
      <c r="L457">
        <v>8.8699999999999992</v>
      </c>
      <c r="M457">
        <f t="shared" si="7"/>
        <v>8.6</v>
      </c>
    </row>
    <row r="458" spans="1:13" x14ac:dyDescent="0.2">
      <c r="A458" t="s">
        <v>471</v>
      </c>
      <c r="B458">
        <v>21</v>
      </c>
      <c r="C458" t="s">
        <v>17</v>
      </c>
      <c r="D458">
        <v>7.2</v>
      </c>
      <c r="E458">
        <v>2.9</v>
      </c>
      <c r="F458">
        <v>2.8</v>
      </c>
      <c r="G458">
        <v>1.4</v>
      </c>
      <c r="H458">
        <v>6.1</v>
      </c>
      <c r="I458">
        <v>73</v>
      </c>
      <c r="J458">
        <v>2.4</v>
      </c>
      <c r="K458">
        <v>7.14</v>
      </c>
      <c r="L458">
        <v>7.34</v>
      </c>
      <c r="M458">
        <f t="shared" si="7"/>
        <v>5.1999999999999993</v>
      </c>
    </row>
    <row r="459" spans="1:13" x14ac:dyDescent="0.2">
      <c r="A459" t="s">
        <v>472</v>
      </c>
      <c r="B459">
        <v>25</v>
      </c>
      <c r="C459" t="s">
        <v>13</v>
      </c>
      <c r="D459">
        <v>8.8000000000000007</v>
      </c>
      <c r="E459">
        <v>3.5</v>
      </c>
      <c r="F459">
        <v>1.2</v>
      </c>
      <c r="G459">
        <v>1.8</v>
      </c>
      <c r="H459">
        <v>5.7</v>
      </c>
      <c r="I459">
        <v>57</v>
      </c>
      <c r="J459">
        <v>1.9</v>
      </c>
      <c r="K459">
        <v>5.58</v>
      </c>
      <c r="L459">
        <v>5.78</v>
      </c>
      <c r="M459">
        <f t="shared" si="7"/>
        <v>3.0999999999999996</v>
      </c>
    </row>
    <row r="460" spans="1:13" x14ac:dyDescent="0.2">
      <c r="A460" t="s">
        <v>473</v>
      </c>
      <c r="B460">
        <v>23</v>
      </c>
      <c r="C460" t="s">
        <v>17</v>
      </c>
      <c r="D460">
        <v>9.1</v>
      </c>
      <c r="E460">
        <v>3.6</v>
      </c>
      <c r="F460">
        <v>0.9</v>
      </c>
      <c r="G460">
        <v>1.8</v>
      </c>
      <c r="H460">
        <v>5.6</v>
      </c>
      <c r="I460">
        <v>64</v>
      </c>
      <c r="J460">
        <v>2.1</v>
      </c>
      <c r="K460">
        <v>6.2</v>
      </c>
      <c r="L460">
        <v>6.4</v>
      </c>
      <c r="M460">
        <f t="shared" si="7"/>
        <v>3</v>
      </c>
    </row>
    <row r="461" spans="1:13" x14ac:dyDescent="0.2">
      <c r="A461" t="s">
        <v>474</v>
      </c>
      <c r="B461">
        <v>19</v>
      </c>
      <c r="C461" t="s">
        <v>17</v>
      </c>
      <c r="D461">
        <v>5.8</v>
      </c>
      <c r="E461">
        <v>2.2999999999999998</v>
      </c>
      <c r="F461">
        <v>4.2</v>
      </c>
      <c r="G461">
        <v>1.2</v>
      </c>
      <c r="H461">
        <v>7.7</v>
      </c>
      <c r="I461">
        <v>93</v>
      </c>
      <c r="J461">
        <v>3.1</v>
      </c>
      <c r="K461">
        <v>9.18</v>
      </c>
      <c r="L461">
        <v>9.3800000000000008</v>
      </c>
      <c r="M461">
        <f t="shared" si="7"/>
        <v>7.3000000000000007</v>
      </c>
    </row>
    <row r="462" spans="1:13" x14ac:dyDescent="0.2">
      <c r="A462" t="s">
        <v>475</v>
      </c>
      <c r="B462">
        <v>25</v>
      </c>
      <c r="C462" t="s">
        <v>13</v>
      </c>
      <c r="D462">
        <v>9.1</v>
      </c>
      <c r="E462">
        <v>3.6</v>
      </c>
      <c r="F462">
        <v>0.9</v>
      </c>
      <c r="G462">
        <v>1.8</v>
      </c>
      <c r="H462">
        <v>5.6</v>
      </c>
      <c r="I462">
        <v>66</v>
      </c>
      <c r="J462">
        <v>2.2000000000000002</v>
      </c>
      <c r="K462">
        <v>6.49</v>
      </c>
      <c r="L462">
        <v>6.69</v>
      </c>
      <c r="M462">
        <f t="shared" si="7"/>
        <v>3.1</v>
      </c>
    </row>
    <row r="463" spans="1:13" x14ac:dyDescent="0.2">
      <c r="A463" t="s">
        <v>476</v>
      </c>
      <c r="B463">
        <v>21</v>
      </c>
      <c r="C463" t="s">
        <v>17</v>
      </c>
      <c r="D463">
        <v>8.1999999999999993</v>
      </c>
      <c r="E463">
        <v>3.3</v>
      </c>
      <c r="F463">
        <v>1.8</v>
      </c>
      <c r="G463">
        <v>1.6</v>
      </c>
      <c r="H463">
        <v>5.6</v>
      </c>
      <c r="I463">
        <v>63</v>
      </c>
      <c r="J463">
        <v>2.1</v>
      </c>
      <c r="K463">
        <v>6.1899999999999897</v>
      </c>
      <c r="L463">
        <v>6.39</v>
      </c>
      <c r="M463">
        <f t="shared" si="7"/>
        <v>3.9000000000000004</v>
      </c>
    </row>
    <row r="464" spans="1:13" x14ac:dyDescent="0.2">
      <c r="A464" t="s">
        <v>477</v>
      </c>
      <c r="B464">
        <v>19</v>
      </c>
      <c r="C464" t="s">
        <v>17</v>
      </c>
      <c r="D464">
        <v>4.9000000000000004</v>
      </c>
      <c r="E464">
        <v>2</v>
      </c>
      <c r="F464">
        <v>5.0999999999999996</v>
      </c>
      <c r="G464">
        <v>1</v>
      </c>
      <c r="H464">
        <v>7.5</v>
      </c>
      <c r="I464">
        <v>95</v>
      </c>
      <c r="J464">
        <v>3.2</v>
      </c>
      <c r="K464">
        <v>9.3800000000000008</v>
      </c>
      <c r="L464">
        <v>9.58</v>
      </c>
      <c r="M464">
        <f t="shared" si="7"/>
        <v>8.3000000000000007</v>
      </c>
    </row>
    <row r="465" spans="1:13" x14ac:dyDescent="0.2">
      <c r="A465" t="s">
        <v>478</v>
      </c>
      <c r="B465">
        <v>17</v>
      </c>
      <c r="C465" t="s">
        <v>13</v>
      </c>
      <c r="D465">
        <v>7.1</v>
      </c>
      <c r="E465">
        <v>2.8</v>
      </c>
      <c r="F465">
        <v>2.9</v>
      </c>
      <c r="G465">
        <v>1.4</v>
      </c>
      <c r="H465">
        <v>6</v>
      </c>
      <c r="I465">
        <v>72</v>
      </c>
      <c r="J465">
        <v>2.4</v>
      </c>
      <c r="K465">
        <v>7.05</v>
      </c>
      <c r="L465">
        <v>7.25</v>
      </c>
      <c r="M465">
        <f t="shared" si="7"/>
        <v>5.3</v>
      </c>
    </row>
    <row r="466" spans="1:13" x14ac:dyDescent="0.2">
      <c r="A466" t="s">
        <v>479</v>
      </c>
      <c r="B466">
        <v>22</v>
      </c>
      <c r="C466" t="s">
        <v>17</v>
      </c>
      <c r="D466">
        <v>9.1</v>
      </c>
      <c r="E466">
        <v>3.6</v>
      </c>
      <c r="F466">
        <v>0.9</v>
      </c>
      <c r="G466">
        <v>1.8</v>
      </c>
      <c r="H466">
        <v>6.3</v>
      </c>
      <c r="I466">
        <v>61</v>
      </c>
      <c r="J466">
        <v>2.1</v>
      </c>
      <c r="K466">
        <v>5.99</v>
      </c>
      <c r="L466">
        <v>6.19</v>
      </c>
      <c r="M466">
        <f t="shared" si="7"/>
        <v>3</v>
      </c>
    </row>
    <row r="467" spans="1:13" x14ac:dyDescent="0.2">
      <c r="A467" t="s">
        <v>480</v>
      </c>
      <c r="B467">
        <v>24</v>
      </c>
      <c r="C467" t="s">
        <v>17</v>
      </c>
      <c r="D467">
        <v>4.5999999999999996</v>
      </c>
      <c r="E467">
        <v>1.8</v>
      </c>
      <c r="F467">
        <v>5.4</v>
      </c>
      <c r="G467">
        <v>0.9</v>
      </c>
      <c r="H467">
        <v>8.5</v>
      </c>
      <c r="I467">
        <v>81</v>
      </c>
      <c r="J467">
        <v>2.7</v>
      </c>
      <c r="K467">
        <v>7.93</v>
      </c>
      <c r="L467">
        <v>8.1300000000000008</v>
      </c>
      <c r="M467">
        <f t="shared" si="7"/>
        <v>8.1000000000000014</v>
      </c>
    </row>
    <row r="468" spans="1:13" x14ac:dyDescent="0.2">
      <c r="A468" t="s">
        <v>481</v>
      </c>
      <c r="B468">
        <v>19</v>
      </c>
      <c r="C468" t="s">
        <v>13</v>
      </c>
      <c r="D468">
        <v>7.2</v>
      </c>
      <c r="E468">
        <v>2.9</v>
      </c>
      <c r="F468">
        <v>2.8</v>
      </c>
      <c r="G468">
        <v>1.4</v>
      </c>
      <c r="H468">
        <v>6.1</v>
      </c>
      <c r="I468">
        <v>69</v>
      </c>
      <c r="J468">
        <v>2.2999999999999998</v>
      </c>
      <c r="K468">
        <v>6.76</v>
      </c>
      <c r="L468">
        <v>6.96</v>
      </c>
      <c r="M468">
        <f t="shared" si="7"/>
        <v>5.0999999999999996</v>
      </c>
    </row>
    <row r="469" spans="1:13" x14ac:dyDescent="0.2">
      <c r="A469" t="s">
        <v>482</v>
      </c>
      <c r="B469">
        <v>21</v>
      </c>
      <c r="C469" t="s">
        <v>13</v>
      </c>
      <c r="D469">
        <v>5.9</v>
      </c>
      <c r="E469">
        <v>2.4</v>
      </c>
      <c r="F469">
        <v>4.0999999999999996</v>
      </c>
      <c r="G469">
        <v>1.2</v>
      </c>
      <c r="H469">
        <v>7.7</v>
      </c>
      <c r="I469">
        <v>80</v>
      </c>
      <c r="J469">
        <v>2.7</v>
      </c>
      <c r="K469">
        <v>7.89</v>
      </c>
      <c r="L469">
        <v>8.09</v>
      </c>
      <c r="M469">
        <f t="shared" si="7"/>
        <v>6.8</v>
      </c>
    </row>
    <row r="470" spans="1:13" x14ac:dyDescent="0.2">
      <c r="A470" t="s">
        <v>483</v>
      </c>
      <c r="B470">
        <v>22</v>
      </c>
      <c r="C470" t="s">
        <v>13</v>
      </c>
      <c r="D470">
        <v>4.7</v>
      </c>
      <c r="E470">
        <v>1.9</v>
      </c>
      <c r="F470">
        <v>5.3</v>
      </c>
      <c r="G470">
        <v>0.9</v>
      </c>
      <c r="H470">
        <v>7.5</v>
      </c>
      <c r="I470">
        <v>97</v>
      </c>
      <c r="J470">
        <v>3.2</v>
      </c>
      <c r="K470">
        <v>9.51</v>
      </c>
      <c r="L470">
        <v>9.7100000000000009</v>
      </c>
      <c r="M470">
        <f t="shared" si="7"/>
        <v>8.5</v>
      </c>
    </row>
    <row r="471" spans="1:13" x14ac:dyDescent="0.2">
      <c r="A471" t="s">
        <v>484</v>
      </c>
      <c r="B471">
        <v>17</v>
      </c>
      <c r="C471" t="s">
        <v>17</v>
      </c>
      <c r="D471">
        <v>10</v>
      </c>
      <c r="E471">
        <v>4</v>
      </c>
      <c r="F471">
        <v>0</v>
      </c>
      <c r="G471">
        <v>2</v>
      </c>
      <c r="H471">
        <v>5.0999999999999996</v>
      </c>
      <c r="I471">
        <v>62</v>
      </c>
      <c r="J471">
        <v>2.1</v>
      </c>
      <c r="K471">
        <v>6.01</v>
      </c>
      <c r="L471">
        <v>6.21</v>
      </c>
      <c r="M471">
        <f t="shared" si="7"/>
        <v>2.1</v>
      </c>
    </row>
    <row r="472" spans="1:13" x14ac:dyDescent="0.2">
      <c r="A472" t="s">
        <v>485</v>
      </c>
      <c r="B472">
        <v>17</v>
      </c>
      <c r="C472" t="s">
        <v>17</v>
      </c>
      <c r="D472">
        <v>9.8000000000000007</v>
      </c>
      <c r="E472">
        <v>3.9</v>
      </c>
      <c r="F472">
        <v>0.2</v>
      </c>
      <c r="G472">
        <v>2</v>
      </c>
      <c r="H472">
        <v>6.5</v>
      </c>
      <c r="I472">
        <v>65</v>
      </c>
      <c r="J472">
        <v>2.2000000000000002</v>
      </c>
      <c r="K472">
        <v>6.31</v>
      </c>
      <c r="L472">
        <v>6.51</v>
      </c>
      <c r="M472">
        <f t="shared" si="7"/>
        <v>2.4000000000000004</v>
      </c>
    </row>
    <row r="473" spans="1:13" x14ac:dyDescent="0.2">
      <c r="A473" t="s">
        <v>486</v>
      </c>
      <c r="B473">
        <v>19</v>
      </c>
      <c r="C473" t="s">
        <v>13</v>
      </c>
      <c r="D473">
        <v>7.3</v>
      </c>
      <c r="E473">
        <v>2.9</v>
      </c>
      <c r="F473">
        <v>2.7</v>
      </c>
      <c r="G473">
        <v>1.5</v>
      </c>
      <c r="H473">
        <v>7.3</v>
      </c>
      <c r="I473">
        <v>77</v>
      </c>
      <c r="J473">
        <v>2.6</v>
      </c>
      <c r="K473">
        <v>7.51</v>
      </c>
      <c r="L473">
        <v>7.71</v>
      </c>
      <c r="M473">
        <f t="shared" si="7"/>
        <v>5.3000000000000007</v>
      </c>
    </row>
    <row r="474" spans="1:13" x14ac:dyDescent="0.2">
      <c r="A474" t="s">
        <v>487</v>
      </c>
      <c r="B474">
        <v>21</v>
      </c>
      <c r="C474" t="s">
        <v>13</v>
      </c>
      <c r="D474">
        <v>9</v>
      </c>
      <c r="E474">
        <v>3.6</v>
      </c>
      <c r="F474">
        <v>1</v>
      </c>
      <c r="G474">
        <v>1.8</v>
      </c>
      <c r="H474">
        <v>5.3</v>
      </c>
      <c r="I474">
        <v>64</v>
      </c>
      <c r="J474">
        <v>2.1</v>
      </c>
      <c r="K474">
        <v>6.22</v>
      </c>
      <c r="L474">
        <v>6.42</v>
      </c>
      <c r="M474">
        <f t="shared" si="7"/>
        <v>3.1</v>
      </c>
    </row>
    <row r="475" spans="1:13" x14ac:dyDescent="0.2">
      <c r="A475" t="s">
        <v>488</v>
      </c>
      <c r="B475">
        <v>19</v>
      </c>
      <c r="C475" t="s">
        <v>17</v>
      </c>
      <c r="D475">
        <v>9</v>
      </c>
      <c r="E475">
        <v>3.6</v>
      </c>
      <c r="F475">
        <v>1</v>
      </c>
      <c r="G475">
        <v>1.8</v>
      </c>
      <c r="H475">
        <v>5.2</v>
      </c>
      <c r="I475">
        <v>62</v>
      </c>
      <c r="J475">
        <v>2.1</v>
      </c>
      <c r="K475">
        <v>6.01</v>
      </c>
      <c r="L475">
        <v>6.21</v>
      </c>
      <c r="M475">
        <f t="shared" si="7"/>
        <v>3.1</v>
      </c>
    </row>
    <row r="476" spans="1:13" x14ac:dyDescent="0.2">
      <c r="A476" t="s">
        <v>489</v>
      </c>
      <c r="B476">
        <v>19</v>
      </c>
      <c r="C476" t="s">
        <v>13</v>
      </c>
      <c r="D476">
        <v>7.8</v>
      </c>
      <c r="E476">
        <v>3.1</v>
      </c>
      <c r="F476">
        <v>2.2000000000000002</v>
      </c>
      <c r="G476">
        <v>1.6</v>
      </c>
      <c r="H476">
        <v>6.6</v>
      </c>
      <c r="I476">
        <v>73</v>
      </c>
      <c r="J476">
        <v>2.5</v>
      </c>
      <c r="K476">
        <v>7.1899999999999897</v>
      </c>
      <c r="L476">
        <v>7.39</v>
      </c>
      <c r="M476">
        <f t="shared" si="7"/>
        <v>4.7</v>
      </c>
    </row>
    <row r="477" spans="1:13" x14ac:dyDescent="0.2">
      <c r="A477" t="s">
        <v>490</v>
      </c>
      <c r="B477">
        <v>21</v>
      </c>
      <c r="C477" t="s">
        <v>17</v>
      </c>
      <c r="D477">
        <v>5.8</v>
      </c>
      <c r="E477">
        <v>2.2999999999999998</v>
      </c>
      <c r="F477">
        <v>4.2</v>
      </c>
      <c r="G477">
        <v>1.2</v>
      </c>
      <c r="H477">
        <v>8.1999999999999993</v>
      </c>
      <c r="I477">
        <v>84</v>
      </c>
      <c r="J477">
        <v>2.8</v>
      </c>
      <c r="K477">
        <v>8.25</v>
      </c>
      <c r="L477">
        <v>8.4499999999999993</v>
      </c>
      <c r="M477">
        <f t="shared" si="7"/>
        <v>7</v>
      </c>
    </row>
    <row r="478" spans="1:13" x14ac:dyDescent="0.2">
      <c r="A478" t="s">
        <v>491</v>
      </c>
      <c r="B478">
        <v>22</v>
      </c>
      <c r="C478" t="s">
        <v>17</v>
      </c>
      <c r="D478">
        <v>6.4</v>
      </c>
      <c r="E478">
        <v>2.6</v>
      </c>
      <c r="F478">
        <v>3.6</v>
      </c>
      <c r="G478">
        <v>1.3</v>
      </c>
      <c r="H478">
        <v>6.7</v>
      </c>
      <c r="I478">
        <v>68</v>
      </c>
      <c r="J478">
        <v>2.2999999999999998</v>
      </c>
      <c r="K478">
        <v>6.6499999999999897</v>
      </c>
      <c r="L478">
        <v>6.85</v>
      </c>
      <c r="M478">
        <f t="shared" si="7"/>
        <v>5.9</v>
      </c>
    </row>
    <row r="479" spans="1:13" x14ac:dyDescent="0.2">
      <c r="A479" t="s">
        <v>492</v>
      </c>
      <c r="B479">
        <v>22</v>
      </c>
      <c r="C479" t="s">
        <v>17</v>
      </c>
      <c r="D479">
        <v>4.8</v>
      </c>
      <c r="E479">
        <v>1.9</v>
      </c>
      <c r="F479">
        <v>5.2</v>
      </c>
      <c r="G479">
        <v>1</v>
      </c>
      <c r="H479">
        <v>7.9</v>
      </c>
      <c r="I479">
        <v>89</v>
      </c>
      <c r="J479">
        <v>3</v>
      </c>
      <c r="K479">
        <v>8.7899999999999991</v>
      </c>
      <c r="L479">
        <v>8.99</v>
      </c>
      <c r="M479">
        <f t="shared" si="7"/>
        <v>8.1999999999999993</v>
      </c>
    </row>
    <row r="480" spans="1:13" x14ac:dyDescent="0.2">
      <c r="A480" t="s">
        <v>493</v>
      </c>
      <c r="B480">
        <v>20</v>
      </c>
      <c r="C480" t="s">
        <v>17</v>
      </c>
      <c r="D480">
        <v>8.5</v>
      </c>
      <c r="E480">
        <v>3.4</v>
      </c>
      <c r="F480">
        <v>1.5</v>
      </c>
      <c r="G480">
        <v>1.7</v>
      </c>
      <c r="H480">
        <v>5.0999999999999996</v>
      </c>
      <c r="I480">
        <v>62</v>
      </c>
      <c r="J480">
        <v>2.1</v>
      </c>
      <c r="K480">
        <v>6.01</v>
      </c>
      <c r="L480">
        <v>6.21</v>
      </c>
      <c r="M480">
        <f t="shared" si="7"/>
        <v>3.6</v>
      </c>
    </row>
    <row r="481" spans="1:13" x14ac:dyDescent="0.2">
      <c r="A481" t="s">
        <v>494</v>
      </c>
      <c r="B481">
        <v>20</v>
      </c>
      <c r="C481" t="s">
        <v>13</v>
      </c>
      <c r="D481">
        <v>9.3000000000000007</v>
      </c>
      <c r="E481">
        <v>3.7</v>
      </c>
      <c r="F481">
        <v>0.7</v>
      </c>
      <c r="G481">
        <v>1.9</v>
      </c>
      <c r="H481">
        <v>5.2</v>
      </c>
      <c r="I481">
        <v>67</v>
      </c>
      <c r="J481">
        <v>2.2000000000000002</v>
      </c>
      <c r="K481">
        <v>6.53</v>
      </c>
      <c r="L481">
        <v>6.73</v>
      </c>
      <c r="M481">
        <f t="shared" si="7"/>
        <v>2.9000000000000004</v>
      </c>
    </row>
    <row r="482" spans="1:13" x14ac:dyDescent="0.2">
      <c r="A482" t="s">
        <v>495</v>
      </c>
      <c r="B482">
        <v>24</v>
      </c>
      <c r="C482" t="s">
        <v>17</v>
      </c>
      <c r="D482">
        <v>7</v>
      </c>
      <c r="E482">
        <v>2.8</v>
      </c>
      <c r="F482">
        <v>3</v>
      </c>
      <c r="G482">
        <v>1.4</v>
      </c>
      <c r="H482">
        <v>6.7</v>
      </c>
      <c r="I482">
        <v>71</v>
      </c>
      <c r="J482">
        <v>2.4</v>
      </c>
      <c r="K482">
        <v>6.96</v>
      </c>
      <c r="L482">
        <v>7.16</v>
      </c>
      <c r="M482">
        <f t="shared" si="7"/>
        <v>5.4</v>
      </c>
    </row>
    <row r="483" spans="1:13" x14ac:dyDescent="0.2">
      <c r="A483" t="s">
        <v>496</v>
      </c>
      <c r="B483">
        <v>17</v>
      </c>
      <c r="C483" t="s">
        <v>17</v>
      </c>
      <c r="D483">
        <v>6.3</v>
      </c>
      <c r="E483">
        <v>2.5</v>
      </c>
      <c r="F483">
        <v>3.7</v>
      </c>
      <c r="G483">
        <v>1.3</v>
      </c>
      <c r="H483">
        <v>6.7</v>
      </c>
      <c r="I483">
        <v>74</v>
      </c>
      <c r="J483">
        <v>2.5</v>
      </c>
      <c r="K483">
        <v>7.21</v>
      </c>
      <c r="L483">
        <v>7.41</v>
      </c>
      <c r="M483">
        <f t="shared" si="7"/>
        <v>6.2</v>
      </c>
    </row>
    <row r="484" spans="1:13" x14ac:dyDescent="0.2">
      <c r="A484" t="s">
        <v>497</v>
      </c>
      <c r="B484">
        <v>23</v>
      </c>
      <c r="C484" t="s">
        <v>17</v>
      </c>
      <c r="D484">
        <v>9.4</v>
      </c>
      <c r="E484">
        <v>3.8</v>
      </c>
      <c r="F484">
        <v>0.6</v>
      </c>
      <c r="G484">
        <v>1.9</v>
      </c>
      <c r="H484">
        <v>5.7</v>
      </c>
      <c r="I484">
        <v>60</v>
      </c>
      <c r="J484">
        <v>2</v>
      </c>
      <c r="K484">
        <v>5.89</v>
      </c>
      <c r="L484">
        <v>6.09</v>
      </c>
      <c r="M484">
        <f t="shared" si="7"/>
        <v>2.6</v>
      </c>
    </row>
    <row r="485" spans="1:13" x14ac:dyDescent="0.2">
      <c r="A485" t="s">
        <v>498</v>
      </c>
      <c r="B485">
        <v>17</v>
      </c>
      <c r="C485" t="s">
        <v>17</v>
      </c>
      <c r="D485">
        <v>6.9</v>
      </c>
      <c r="E485">
        <v>2.8</v>
      </c>
      <c r="F485">
        <v>3.1</v>
      </c>
      <c r="G485">
        <v>1.4</v>
      </c>
      <c r="H485">
        <v>6.1</v>
      </c>
      <c r="I485">
        <v>80</v>
      </c>
      <c r="J485">
        <v>2.7</v>
      </c>
      <c r="K485">
        <v>7.8</v>
      </c>
      <c r="L485">
        <v>8</v>
      </c>
      <c r="M485">
        <f t="shared" si="7"/>
        <v>5.8000000000000007</v>
      </c>
    </row>
    <row r="486" spans="1:13" x14ac:dyDescent="0.2">
      <c r="A486" t="s">
        <v>499</v>
      </c>
      <c r="B486">
        <v>21</v>
      </c>
      <c r="C486" t="s">
        <v>17</v>
      </c>
      <c r="D486">
        <v>5.8</v>
      </c>
      <c r="E486">
        <v>2.2999999999999998</v>
      </c>
      <c r="F486">
        <v>4.2</v>
      </c>
      <c r="G486">
        <v>1.2</v>
      </c>
      <c r="H486">
        <v>7.5</v>
      </c>
      <c r="I486">
        <v>82</v>
      </c>
      <c r="J486">
        <v>2.8</v>
      </c>
      <c r="K486">
        <v>8.08</v>
      </c>
      <c r="L486">
        <v>8.2799999999999994</v>
      </c>
      <c r="M486">
        <f t="shared" si="7"/>
        <v>7</v>
      </c>
    </row>
    <row r="487" spans="1:13" x14ac:dyDescent="0.2">
      <c r="A487" t="s">
        <v>500</v>
      </c>
      <c r="B487">
        <v>22</v>
      </c>
      <c r="C487" t="s">
        <v>17</v>
      </c>
      <c r="D487">
        <v>9.8000000000000007</v>
      </c>
      <c r="E487">
        <v>3.9</v>
      </c>
      <c r="F487">
        <v>0.2</v>
      </c>
      <c r="G487">
        <v>2</v>
      </c>
      <c r="H487">
        <v>6.1</v>
      </c>
      <c r="I487">
        <v>57</v>
      </c>
      <c r="J487">
        <v>1.9</v>
      </c>
      <c r="K487">
        <v>5.59</v>
      </c>
      <c r="L487">
        <v>5.79</v>
      </c>
      <c r="M487">
        <f t="shared" si="7"/>
        <v>2.1</v>
      </c>
    </row>
    <row r="488" spans="1:13" x14ac:dyDescent="0.2">
      <c r="A488" t="s">
        <v>501</v>
      </c>
      <c r="B488">
        <v>18</v>
      </c>
      <c r="C488" t="s">
        <v>17</v>
      </c>
      <c r="D488">
        <v>4.2</v>
      </c>
      <c r="E488">
        <v>1.7</v>
      </c>
      <c r="F488">
        <v>5.8</v>
      </c>
      <c r="G488">
        <v>0.8</v>
      </c>
      <c r="H488">
        <v>7.8</v>
      </c>
      <c r="I488">
        <v>95</v>
      </c>
      <c r="J488">
        <v>3.2</v>
      </c>
      <c r="K488">
        <v>9.34</v>
      </c>
      <c r="L488">
        <v>9.5399999999999991</v>
      </c>
      <c r="M488">
        <f t="shared" si="7"/>
        <v>9</v>
      </c>
    </row>
    <row r="489" spans="1:13" x14ac:dyDescent="0.2">
      <c r="A489" t="s">
        <v>502</v>
      </c>
      <c r="B489">
        <v>19</v>
      </c>
      <c r="C489" t="s">
        <v>13</v>
      </c>
      <c r="D489">
        <v>5.7</v>
      </c>
      <c r="E489">
        <v>2.2999999999999998</v>
      </c>
      <c r="F489">
        <v>4.3</v>
      </c>
      <c r="G489">
        <v>1.1000000000000001</v>
      </c>
      <c r="H489">
        <v>8.4</v>
      </c>
      <c r="I489">
        <v>82</v>
      </c>
      <c r="J489">
        <v>2.7</v>
      </c>
      <c r="K489">
        <v>8.02</v>
      </c>
      <c r="L489">
        <v>8.2200000000000006</v>
      </c>
      <c r="M489">
        <f t="shared" si="7"/>
        <v>7</v>
      </c>
    </row>
    <row r="490" spans="1:13" x14ac:dyDescent="0.2">
      <c r="A490" t="s">
        <v>503</v>
      </c>
      <c r="B490">
        <v>19</v>
      </c>
      <c r="C490" t="s">
        <v>17</v>
      </c>
      <c r="D490">
        <v>8.1</v>
      </c>
      <c r="E490">
        <v>3.2</v>
      </c>
      <c r="F490">
        <v>1.9</v>
      </c>
      <c r="G490">
        <v>1.6</v>
      </c>
      <c r="H490">
        <v>5.4</v>
      </c>
      <c r="I490">
        <v>65</v>
      </c>
      <c r="J490">
        <v>2.2000000000000002</v>
      </c>
      <c r="K490">
        <v>6.38</v>
      </c>
      <c r="L490">
        <v>6.58</v>
      </c>
      <c r="M490">
        <f t="shared" si="7"/>
        <v>4.0999999999999996</v>
      </c>
    </row>
    <row r="491" spans="1:13" x14ac:dyDescent="0.2">
      <c r="A491" t="s">
        <v>504</v>
      </c>
      <c r="B491">
        <v>24</v>
      </c>
      <c r="C491" t="s">
        <v>17</v>
      </c>
      <c r="D491">
        <v>6.1</v>
      </c>
      <c r="E491">
        <v>2.4</v>
      </c>
      <c r="F491">
        <v>3.9</v>
      </c>
      <c r="G491">
        <v>1.2</v>
      </c>
      <c r="H491">
        <v>6.1</v>
      </c>
      <c r="I491">
        <v>75</v>
      </c>
      <c r="J491">
        <v>2.5</v>
      </c>
      <c r="K491">
        <v>7.3599999999999897</v>
      </c>
      <c r="L491">
        <v>7.56</v>
      </c>
      <c r="M491">
        <f t="shared" si="7"/>
        <v>6.4</v>
      </c>
    </row>
    <row r="492" spans="1:13" x14ac:dyDescent="0.2">
      <c r="A492" t="s">
        <v>505</v>
      </c>
      <c r="B492">
        <v>18</v>
      </c>
      <c r="C492" t="s">
        <v>17</v>
      </c>
      <c r="D492">
        <v>8.9</v>
      </c>
      <c r="E492">
        <v>3.6</v>
      </c>
      <c r="F492">
        <v>1.1000000000000001</v>
      </c>
      <c r="G492">
        <v>1.8</v>
      </c>
      <c r="H492">
        <v>6.3</v>
      </c>
      <c r="I492">
        <v>65</v>
      </c>
      <c r="J492">
        <v>2.2000000000000002</v>
      </c>
      <c r="K492">
        <v>6.35</v>
      </c>
      <c r="L492">
        <v>6.55</v>
      </c>
      <c r="M492">
        <f t="shared" si="7"/>
        <v>3.3000000000000003</v>
      </c>
    </row>
    <row r="493" spans="1:13" x14ac:dyDescent="0.2">
      <c r="A493" t="s">
        <v>506</v>
      </c>
      <c r="B493">
        <v>22</v>
      </c>
      <c r="C493" t="s">
        <v>17</v>
      </c>
      <c r="D493">
        <v>4.5</v>
      </c>
      <c r="E493">
        <v>1.8</v>
      </c>
      <c r="F493">
        <v>5.5</v>
      </c>
      <c r="G493">
        <v>0.9</v>
      </c>
      <c r="H493">
        <v>7.1</v>
      </c>
      <c r="I493">
        <v>87</v>
      </c>
      <c r="J493">
        <v>2.9</v>
      </c>
      <c r="K493">
        <v>8.58</v>
      </c>
      <c r="L493">
        <v>8.7799999999999994</v>
      </c>
      <c r="M493">
        <f t="shared" si="7"/>
        <v>8.4</v>
      </c>
    </row>
    <row r="494" spans="1:13" x14ac:dyDescent="0.2">
      <c r="A494" t="s">
        <v>507</v>
      </c>
      <c r="B494">
        <v>19</v>
      </c>
      <c r="C494" t="s">
        <v>17</v>
      </c>
      <c r="D494">
        <v>6.1</v>
      </c>
      <c r="E494">
        <v>2.4</v>
      </c>
      <c r="F494">
        <v>3.9</v>
      </c>
      <c r="G494">
        <v>1.2</v>
      </c>
      <c r="H494">
        <v>7.2</v>
      </c>
      <c r="I494">
        <v>69</v>
      </c>
      <c r="J494">
        <v>2.2999999999999998</v>
      </c>
      <c r="K494">
        <v>6.7299999999999898</v>
      </c>
      <c r="L494">
        <v>6.93</v>
      </c>
      <c r="M494">
        <f t="shared" si="7"/>
        <v>6.1999999999999993</v>
      </c>
    </row>
    <row r="495" spans="1:13" x14ac:dyDescent="0.2">
      <c r="A495" t="s">
        <v>508</v>
      </c>
      <c r="B495">
        <v>22</v>
      </c>
      <c r="C495" t="s">
        <v>13</v>
      </c>
      <c r="D495">
        <v>9.1999999999999993</v>
      </c>
      <c r="E495">
        <v>3.7</v>
      </c>
      <c r="F495">
        <v>0.8</v>
      </c>
      <c r="G495">
        <v>1.8</v>
      </c>
      <c r="H495">
        <v>5.2</v>
      </c>
      <c r="I495">
        <v>63</v>
      </c>
      <c r="J495">
        <v>2.1</v>
      </c>
      <c r="K495">
        <v>6.1899999999999897</v>
      </c>
      <c r="L495">
        <v>6.39</v>
      </c>
      <c r="M495">
        <f t="shared" si="7"/>
        <v>2.9000000000000004</v>
      </c>
    </row>
    <row r="496" spans="1:13" x14ac:dyDescent="0.2">
      <c r="A496" t="s">
        <v>509</v>
      </c>
      <c r="B496">
        <v>23</v>
      </c>
      <c r="C496" t="s">
        <v>17</v>
      </c>
      <c r="D496">
        <v>4.9000000000000004</v>
      </c>
      <c r="E496">
        <v>2</v>
      </c>
      <c r="F496">
        <v>5.0999999999999996</v>
      </c>
      <c r="G496">
        <v>1</v>
      </c>
      <c r="H496">
        <v>8</v>
      </c>
      <c r="I496">
        <v>92</v>
      </c>
      <c r="J496">
        <v>3.1</v>
      </c>
      <c r="K496">
        <v>9.02</v>
      </c>
      <c r="L496">
        <v>9.2200000000000006</v>
      </c>
      <c r="M496">
        <f t="shared" si="7"/>
        <v>8.1999999999999993</v>
      </c>
    </row>
    <row r="497" spans="1:13" x14ac:dyDescent="0.2">
      <c r="A497" t="s">
        <v>510</v>
      </c>
      <c r="B497">
        <v>23</v>
      </c>
      <c r="C497" t="s">
        <v>17</v>
      </c>
      <c r="D497">
        <v>8.8000000000000007</v>
      </c>
      <c r="E497">
        <v>3.5</v>
      </c>
      <c r="F497">
        <v>1.2</v>
      </c>
      <c r="G497">
        <v>1.8</v>
      </c>
      <c r="H497">
        <v>5.6</v>
      </c>
      <c r="I497">
        <v>67</v>
      </c>
      <c r="J497">
        <v>2.2000000000000002</v>
      </c>
      <c r="K497">
        <v>6.51</v>
      </c>
      <c r="L497">
        <v>6.71</v>
      </c>
      <c r="M497">
        <f t="shared" si="7"/>
        <v>3.4000000000000004</v>
      </c>
    </row>
    <row r="498" spans="1:13" x14ac:dyDescent="0.2">
      <c r="A498" t="s">
        <v>511</v>
      </c>
      <c r="B498">
        <v>19</v>
      </c>
      <c r="C498" t="s">
        <v>17</v>
      </c>
      <c r="D498">
        <v>9.1</v>
      </c>
      <c r="E498">
        <v>3.6</v>
      </c>
      <c r="F498">
        <v>0.9</v>
      </c>
      <c r="G498">
        <v>1.8</v>
      </c>
      <c r="H498">
        <v>5.3</v>
      </c>
      <c r="I498">
        <v>62</v>
      </c>
      <c r="J498">
        <v>2.1</v>
      </c>
      <c r="K498">
        <v>6.01</v>
      </c>
      <c r="L498">
        <v>6.21</v>
      </c>
      <c r="M498">
        <f t="shared" si="7"/>
        <v>3</v>
      </c>
    </row>
    <row r="499" spans="1:13" x14ac:dyDescent="0.2">
      <c r="A499" t="s">
        <v>512</v>
      </c>
      <c r="B499">
        <v>23</v>
      </c>
      <c r="C499" t="s">
        <v>13</v>
      </c>
      <c r="D499">
        <v>6.5</v>
      </c>
      <c r="E499">
        <v>2.6</v>
      </c>
      <c r="F499">
        <v>3.5</v>
      </c>
      <c r="G499">
        <v>1.3</v>
      </c>
      <c r="H499">
        <v>6.3</v>
      </c>
      <c r="I499">
        <v>77</v>
      </c>
      <c r="J499">
        <v>2.6</v>
      </c>
      <c r="K499">
        <v>7.51</v>
      </c>
      <c r="L499">
        <v>7.71</v>
      </c>
      <c r="M499">
        <f t="shared" si="7"/>
        <v>6.1</v>
      </c>
    </row>
    <row r="500" spans="1:13" x14ac:dyDescent="0.2">
      <c r="A500" t="s">
        <v>513</v>
      </c>
      <c r="B500">
        <v>20</v>
      </c>
      <c r="C500" t="s">
        <v>13</v>
      </c>
      <c r="D500">
        <v>6.7</v>
      </c>
      <c r="E500">
        <v>2.7</v>
      </c>
      <c r="F500">
        <v>3.3</v>
      </c>
      <c r="G500">
        <v>1.3</v>
      </c>
      <c r="H500">
        <v>6.9</v>
      </c>
      <c r="I500">
        <v>75</v>
      </c>
      <c r="J500">
        <v>2.5</v>
      </c>
      <c r="K500">
        <v>7.3</v>
      </c>
      <c r="L500">
        <v>7.5</v>
      </c>
      <c r="M500">
        <f t="shared" si="7"/>
        <v>5.8</v>
      </c>
    </row>
    <row r="501" spans="1:13" x14ac:dyDescent="0.2">
      <c r="A501" t="s">
        <v>514</v>
      </c>
      <c r="B501">
        <v>24</v>
      </c>
      <c r="C501" t="s">
        <v>17</v>
      </c>
      <c r="D501">
        <v>7.2</v>
      </c>
      <c r="E501">
        <v>2.9</v>
      </c>
      <c r="F501">
        <v>2.8</v>
      </c>
      <c r="G501">
        <v>1.4</v>
      </c>
      <c r="H501">
        <v>6.4</v>
      </c>
      <c r="I501">
        <v>73</v>
      </c>
      <c r="J501">
        <v>2.5</v>
      </c>
      <c r="K501">
        <v>7.16</v>
      </c>
      <c r="L501">
        <v>7.36</v>
      </c>
      <c r="M501">
        <f t="shared" si="7"/>
        <v>5.3</v>
      </c>
    </row>
    <row r="502" spans="1:13" x14ac:dyDescent="0.2">
      <c r="A502" t="s">
        <v>515</v>
      </c>
      <c r="B502">
        <v>24</v>
      </c>
      <c r="C502" t="s">
        <v>13</v>
      </c>
      <c r="D502">
        <v>7.3</v>
      </c>
      <c r="E502">
        <v>2.9</v>
      </c>
      <c r="F502">
        <v>2.7</v>
      </c>
      <c r="G502">
        <v>1.5</v>
      </c>
      <c r="H502">
        <v>6.2</v>
      </c>
      <c r="I502">
        <v>74</v>
      </c>
      <c r="J502">
        <v>2.5</v>
      </c>
      <c r="K502">
        <v>7.22</v>
      </c>
      <c r="L502">
        <v>7.42</v>
      </c>
      <c r="M502">
        <f t="shared" si="7"/>
        <v>5.2</v>
      </c>
    </row>
    <row r="503" spans="1:13" x14ac:dyDescent="0.2">
      <c r="A503" t="s">
        <v>516</v>
      </c>
      <c r="B503">
        <v>18</v>
      </c>
      <c r="C503" t="s">
        <v>17</v>
      </c>
      <c r="D503">
        <v>6.4</v>
      </c>
      <c r="E503">
        <v>2.6</v>
      </c>
      <c r="F503">
        <v>3.6</v>
      </c>
      <c r="G503">
        <v>1.3</v>
      </c>
      <c r="H503">
        <v>7.3</v>
      </c>
      <c r="I503">
        <v>69</v>
      </c>
      <c r="J503">
        <v>2.2999999999999998</v>
      </c>
      <c r="K503">
        <v>6.79</v>
      </c>
      <c r="L503">
        <v>6.99</v>
      </c>
      <c r="M503">
        <f t="shared" si="7"/>
        <v>5.9</v>
      </c>
    </row>
    <row r="504" spans="1:13" x14ac:dyDescent="0.2">
      <c r="A504" t="s">
        <v>517</v>
      </c>
      <c r="B504">
        <v>18</v>
      </c>
      <c r="C504" t="s">
        <v>13</v>
      </c>
      <c r="D504">
        <v>4.3</v>
      </c>
      <c r="E504">
        <v>1.7</v>
      </c>
      <c r="F504">
        <v>5.7</v>
      </c>
      <c r="G504">
        <v>0.9</v>
      </c>
      <c r="H504">
        <v>7.5</v>
      </c>
      <c r="I504">
        <v>93</v>
      </c>
      <c r="J504">
        <v>3.1</v>
      </c>
      <c r="K504">
        <v>9.1</v>
      </c>
      <c r="L504">
        <v>9.3000000000000007</v>
      </c>
      <c r="M504">
        <f t="shared" si="7"/>
        <v>8.8000000000000007</v>
      </c>
    </row>
    <row r="505" spans="1:13" x14ac:dyDescent="0.2">
      <c r="A505" t="s">
        <v>518</v>
      </c>
      <c r="B505">
        <v>25</v>
      </c>
      <c r="C505" t="s">
        <v>13</v>
      </c>
      <c r="D505">
        <v>7.6</v>
      </c>
      <c r="E505">
        <v>3</v>
      </c>
      <c r="F505">
        <v>2.4</v>
      </c>
      <c r="G505">
        <v>1.5</v>
      </c>
      <c r="H505">
        <v>6.9</v>
      </c>
      <c r="I505">
        <v>78</v>
      </c>
      <c r="J505">
        <v>2.6</v>
      </c>
      <c r="K505">
        <v>7.67</v>
      </c>
      <c r="L505">
        <v>7.87</v>
      </c>
      <c r="M505">
        <f t="shared" si="7"/>
        <v>5</v>
      </c>
    </row>
    <row r="506" spans="1:13" x14ac:dyDescent="0.2">
      <c r="A506" t="s">
        <v>519</v>
      </c>
      <c r="B506">
        <v>17</v>
      </c>
      <c r="C506" t="s">
        <v>17</v>
      </c>
      <c r="D506">
        <v>5.5</v>
      </c>
      <c r="E506">
        <v>2.2000000000000002</v>
      </c>
      <c r="F506">
        <v>4.5</v>
      </c>
      <c r="G506">
        <v>1.1000000000000001</v>
      </c>
      <c r="H506">
        <v>7.5</v>
      </c>
      <c r="I506">
        <v>92</v>
      </c>
      <c r="J506">
        <v>3.1</v>
      </c>
      <c r="K506">
        <v>9.08</v>
      </c>
      <c r="L506">
        <v>9.2799999999999994</v>
      </c>
      <c r="M506">
        <f t="shared" si="7"/>
        <v>7.6</v>
      </c>
    </row>
    <row r="507" spans="1:13" x14ac:dyDescent="0.2">
      <c r="A507" t="s">
        <v>520</v>
      </c>
      <c r="B507">
        <v>18</v>
      </c>
      <c r="C507" t="s">
        <v>17</v>
      </c>
      <c r="D507">
        <v>5.6</v>
      </c>
      <c r="E507">
        <v>2.2000000000000002</v>
      </c>
      <c r="F507">
        <v>4.4000000000000004</v>
      </c>
      <c r="G507">
        <v>1.1000000000000001</v>
      </c>
      <c r="H507">
        <v>7.5</v>
      </c>
      <c r="I507">
        <v>94</v>
      </c>
      <c r="J507">
        <v>3.2</v>
      </c>
      <c r="K507">
        <v>9.2899999999999991</v>
      </c>
      <c r="L507">
        <v>9.49</v>
      </c>
      <c r="M507">
        <f t="shared" si="7"/>
        <v>7.6000000000000005</v>
      </c>
    </row>
    <row r="508" spans="1:13" x14ac:dyDescent="0.2">
      <c r="A508" t="s">
        <v>521</v>
      </c>
      <c r="B508">
        <v>19</v>
      </c>
      <c r="C508" t="s">
        <v>17</v>
      </c>
      <c r="D508">
        <v>9.6999999999999993</v>
      </c>
      <c r="E508">
        <v>3.9</v>
      </c>
      <c r="F508">
        <v>0.3</v>
      </c>
      <c r="G508">
        <v>1.9</v>
      </c>
      <c r="H508">
        <v>5.6</v>
      </c>
      <c r="I508">
        <v>60</v>
      </c>
      <c r="J508">
        <v>2</v>
      </c>
      <c r="K508">
        <v>5.85</v>
      </c>
      <c r="L508">
        <v>6.05</v>
      </c>
      <c r="M508">
        <f t="shared" si="7"/>
        <v>2.2999999999999998</v>
      </c>
    </row>
    <row r="509" spans="1:13" x14ac:dyDescent="0.2">
      <c r="A509" t="s">
        <v>522</v>
      </c>
      <c r="B509">
        <v>24</v>
      </c>
      <c r="C509" t="s">
        <v>17</v>
      </c>
      <c r="D509">
        <v>4.7</v>
      </c>
      <c r="E509">
        <v>1.9</v>
      </c>
      <c r="F509">
        <v>5.3</v>
      </c>
      <c r="G509">
        <v>0.9</v>
      </c>
      <c r="H509">
        <v>7.8</v>
      </c>
      <c r="I509">
        <v>78</v>
      </c>
      <c r="J509">
        <v>2.6</v>
      </c>
      <c r="K509">
        <v>7.68</v>
      </c>
      <c r="L509">
        <v>7.88</v>
      </c>
      <c r="M509">
        <f t="shared" si="7"/>
        <v>7.9</v>
      </c>
    </row>
    <row r="510" spans="1:13" x14ac:dyDescent="0.2">
      <c r="A510" t="s">
        <v>523</v>
      </c>
      <c r="B510">
        <v>17</v>
      </c>
      <c r="C510" t="s">
        <v>13</v>
      </c>
      <c r="D510">
        <v>4</v>
      </c>
      <c r="E510">
        <v>1.6</v>
      </c>
      <c r="F510">
        <v>6</v>
      </c>
      <c r="G510">
        <v>0.8</v>
      </c>
      <c r="H510">
        <v>8.1</v>
      </c>
      <c r="I510">
        <v>81</v>
      </c>
      <c r="J510">
        <v>2.7</v>
      </c>
      <c r="K510">
        <v>7.93</v>
      </c>
      <c r="L510">
        <v>8.1300000000000008</v>
      </c>
      <c r="M510">
        <f t="shared" si="7"/>
        <v>8.6999999999999993</v>
      </c>
    </row>
    <row r="511" spans="1:13" x14ac:dyDescent="0.2">
      <c r="A511" t="s">
        <v>524</v>
      </c>
      <c r="B511">
        <v>21</v>
      </c>
      <c r="C511" t="s">
        <v>13</v>
      </c>
      <c r="D511">
        <v>8.6</v>
      </c>
      <c r="E511">
        <v>3.4</v>
      </c>
      <c r="F511">
        <v>1.4</v>
      </c>
      <c r="G511">
        <v>1.7</v>
      </c>
      <c r="H511">
        <v>6.1</v>
      </c>
      <c r="I511">
        <v>67</v>
      </c>
      <c r="J511">
        <v>2.2000000000000002</v>
      </c>
      <c r="K511">
        <v>6.54</v>
      </c>
      <c r="L511">
        <v>6.74</v>
      </c>
      <c r="M511">
        <f t="shared" si="7"/>
        <v>3.6</v>
      </c>
    </row>
    <row r="512" spans="1:13" x14ac:dyDescent="0.2">
      <c r="A512" t="s">
        <v>525</v>
      </c>
      <c r="B512">
        <v>22</v>
      </c>
      <c r="C512" t="s">
        <v>13</v>
      </c>
      <c r="D512">
        <v>8.6999999999999993</v>
      </c>
      <c r="E512">
        <v>3.5</v>
      </c>
      <c r="F512">
        <v>1.3</v>
      </c>
      <c r="G512">
        <v>1.7</v>
      </c>
      <c r="H512">
        <v>5.0999999999999996</v>
      </c>
      <c r="I512">
        <v>63</v>
      </c>
      <c r="J512">
        <v>2.1</v>
      </c>
      <c r="K512">
        <v>6.14</v>
      </c>
      <c r="L512">
        <v>6.34</v>
      </c>
      <c r="M512">
        <f t="shared" si="7"/>
        <v>3.4000000000000004</v>
      </c>
    </row>
    <row r="513" spans="1:13" x14ac:dyDescent="0.2">
      <c r="A513" t="s">
        <v>526</v>
      </c>
      <c r="B513">
        <v>19</v>
      </c>
      <c r="C513" t="s">
        <v>13</v>
      </c>
      <c r="D513">
        <v>6.3</v>
      </c>
      <c r="E513">
        <v>2.5</v>
      </c>
      <c r="F513">
        <v>3.7</v>
      </c>
      <c r="G513">
        <v>1.3</v>
      </c>
      <c r="H513">
        <v>6.7</v>
      </c>
      <c r="I513">
        <v>78</v>
      </c>
      <c r="J513">
        <v>2.6</v>
      </c>
      <c r="K513">
        <v>7.64</v>
      </c>
      <c r="L513">
        <v>7.84</v>
      </c>
      <c r="M513">
        <f t="shared" si="7"/>
        <v>6.3000000000000007</v>
      </c>
    </row>
    <row r="514" spans="1:13" x14ac:dyDescent="0.2">
      <c r="A514" t="s">
        <v>527</v>
      </c>
      <c r="B514">
        <v>20</v>
      </c>
      <c r="C514" t="s">
        <v>17</v>
      </c>
      <c r="D514">
        <v>4</v>
      </c>
      <c r="E514">
        <v>1.6</v>
      </c>
      <c r="F514">
        <v>6</v>
      </c>
      <c r="G514">
        <v>0.8</v>
      </c>
      <c r="H514">
        <v>7.3</v>
      </c>
      <c r="I514">
        <v>95</v>
      </c>
      <c r="J514">
        <v>3.2</v>
      </c>
      <c r="K514">
        <v>9.32</v>
      </c>
      <c r="L514">
        <v>9.52</v>
      </c>
      <c r="M514">
        <f t="shared" ref="M514:M546" si="8">F514+J514</f>
        <v>9.1999999999999993</v>
      </c>
    </row>
    <row r="515" spans="1:13" x14ac:dyDescent="0.2">
      <c r="A515" t="s">
        <v>528</v>
      </c>
      <c r="B515">
        <v>24</v>
      </c>
      <c r="C515" t="s">
        <v>13</v>
      </c>
      <c r="D515">
        <v>8.3000000000000007</v>
      </c>
      <c r="E515">
        <v>3.3</v>
      </c>
      <c r="F515">
        <v>1.7</v>
      </c>
      <c r="G515">
        <v>1.7</v>
      </c>
      <c r="H515">
        <v>6.3</v>
      </c>
      <c r="I515">
        <v>59</v>
      </c>
      <c r="J515">
        <v>2</v>
      </c>
      <c r="K515">
        <v>5.78</v>
      </c>
      <c r="L515">
        <v>5.98</v>
      </c>
      <c r="M515">
        <f t="shared" si="8"/>
        <v>3.7</v>
      </c>
    </row>
    <row r="516" spans="1:13" x14ac:dyDescent="0.2">
      <c r="A516" t="s">
        <v>529</v>
      </c>
      <c r="B516">
        <v>25</v>
      </c>
      <c r="C516" t="s">
        <v>13</v>
      </c>
      <c r="D516">
        <v>5.3</v>
      </c>
      <c r="E516">
        <v>2.1</v>
      </c>
      <c r="F516">
        <v>4.7</v>
      </c>
      <c r="G516">
        <v>1.1000000000000001</v>
      </c>
      <c r="H516">
        <v>7.9</v>
      </c>
      <c r="I516">
        <v>91</v>
      </c>
      <c r="J516">
        <v>3.1</v>
      </c>
      <c r="K516">
        <v>8.9600000000000009</v>
      </c>
      <c r="L516">
        <v>9.16</v>
      </c>
      <c r="M516">
        <f t="shared" si="8"/>
        <v>7.8000000000000007</v>
      </c>
    </row>
    <row r="517" spans="1:13" x14ac:dyDescent="0.2">
      <c r="A517" t="s">
        <v>530</v>
      </c>
      <c r="B517">
        <v>21</v>
      </c>
      <c r="C517" t="s">
        <v>13</v>
      </c>
      <c r="D517">
        <v>9.6</v>
      </c>
      <c r="E517">
        <v>3.8</v>
      </c>
      <c r="F517">
        <v>0.4</v>
      </c>
      <c r="G517">
        <v>1.9</v>
      </c>
      <c r="H517">
        <v>6.1</v>
      </c>
      <c r="I517">
        <v>56</v>
      </c>
      <c r="J517">
        <v>1.9</v>
      </c>
      <c r="K517">
        <v>5.46</v>
      </c>
      <c r="L517">
        <v>5.66</v>
      </c>
      <c r="M517">
        <f t="shared" si="8"/>
        <v>2.2999999999999998</v>
      </c>
    </row>
    <row r="518" spans="1:13" x14ac:dyDescent="0.2">
      <c r="A518" t="s">
        <v>531</v>
      </c>
      <c r="B518">
        <v>25</v>
      </c>
      <c r="C518" t="s">
        <v>17</v>
      </c>
      <c r="D518">
        <v>8.3000000000000007</v>
      </c>
      <c r="E518">
        <v>3.3</v>
      </c>
      <c r="F518">
        <v>1.7</v>
      </c>
      <c r="G518">
        <v>1.7</v>
      </c>
      <c r="H518">
        <v>6.3</v>
      </c>
      <c r="I518">
        <v>57</v>
      </c>
      <c r="J518">
        <v>1.9</v>
      </c>
      <c r="K518">
        <v>5.56</v>
      </c>
      <c r="L518">
        <v>5.76</v>
      </c>
      <c r="M518">
        <f t="shared" si="8"/>
        <v>3.5999999999999996</v>
      </c>
    </row>
    <row r="519" spans="1:13" x14ac:dyDescent="0.2">
      <c r="A519" t="s">
        <v>532</v>
      </c>
      <c r="B519">
        <v>21</v>
      </c>
      <c r="C519" t="s">
        <v>13</v>
      </c>
      <c r="D519">
        <v>4.7</v>
      </c>
      <c r="E519">
        <v>1.9</v>
      </c>
      <c r="F519">
        <v>5.3</v>
      </c>
      <c r="G519">
        <v>0.9</v>
      </c>
      <c r="H519">
        <v>7.4</v>
      </c>
      <c r="I519">
        <v>88</v>
      </c>
      <c r="J519">
        <v>2.9</v>
      </c>
      <c r="K519">
        <v>8.6300000000000008</v>
      </c>
      <c r="L519">
        <v>8.83</v>
      </c>
      <c r="M519">
        <f t="shared" si="8"/>
        <v>8.1999999999999993</v>
      </c>
    </row>
    <row r="520" spans="1:13" x14ac:dyDescent="0.2">
      <c r="A520" t="s">
        <v>533</v>
      </c>
      <c r="B520">
        <v>19</v>
      </c>
      <c r="C520" t="s">
        <v>17</v>
      </c>
      <c r="D520">
        <v>6</v>
      </c>
      <c r="E520">
        <v>2.4</v>
      </c>
      <c r="F520">
        <v>4</v>
      </c>
      <c r="G520">
        <v>1.2</v>
      </c>
      <c r="H520">
        <v>6.2</v>
      </c>
      <c r="I520">
        <v>68</v>
      </c>
      <c r="J520">
        <v>2.2999999999999998</v>
      </c>
      <c r="K520">
        <v>6.62</v>
      </c>
      <c r="L520">
        <v>6.82</v>
      </c>
      <c r="M520">
        <f t="shared" si="8"/>
        <v>6.3</v>
      </c>
    </row>
    <row r="521" spans="1:13" x14ac:dyDescent="0.2">
      <c r="A521" t="s">
        <v>534</v>
      </c>
      <c r="B521">
        <v>24</v>
      </c>
      <c r="C521" t="s">
        <v>17</v>
      </c>
      <c r="D521">
        <v>8.4</v>
      </c>
      <c r="E521">
        <v>3.4</v>
      </c>
      <c r="F521">
        <v>1.6</v>
      </c>
      <c r="G521">
        <v>1.7</v>
      </c>
      <c r="H521">
        <v>6.4</v>
      </c>
      <c r="I521">
        <v>59</v>
      </c>
      <c r="J521">
        <v>2</v>
      </c>
      <c r="K521">
        <v>5.7299999999999898</v>
      </c>
      <c r="L521">
        <v>5.93</v>
      </c>
      <c r="M521">
        <f t="shared" si="8"/>
        <v>3.6</v>
      </c>
    </row>
    <row r="522" spans="1:13" x14ac:dyDescent="0.2">
      <c r="A522" t="s">
        <v>535</v>
      </c>
      <c r="B522">
        <v>17</v>
      </c>
      <c r="C522" t="s">
        <v>13</v>
      </c>
      <c r="D522">
        <v>6.8</v>
      </c>
      <c r="E522">
        <v>2.7</v>
      </c>
      <c r="F522">
        <v>3.2</v>
      </c>
      <c r="G522">
        <v>1.4</v>
      </c>
      <c r="H522">
        <v>6.8</v>
      </c>
      <c r="I522">
        <v>79</v>
      </c>
      <c r="J522">
        <v>2.7</v>
      </c>
      <c r="K522">
        <v>7.76</v>
      </c>
      <c r="L522">
        <v>7.96</v>
      </c>
      <c r="M522">
        <f t="shared" si="8"/>
        <v>5.9</v>
      </c>
    </row>
    <row r="523" spans="1:13" x14ac:dyDescent="0.2">
      <c r="A523" t="s">
        <v>536</v>
      </c>
      <c r="B523">
        <v>22</v>
      </c>
      <c r="C523" t="s">
        <v>17</v>
      </c>
      <c r="D523">
        <v>6.7</v>
      </c>
      <c r="E523">
        <v>2.7</v>
      </c>
      <c r="F523">
        <v>3.3</v>
      </c>
      <c r="G523">
        <v>1.3</v>
      </c>
      <c r="H523">
        <v>6.3</v>
      </c>
      <c r="I523">
        <v>71</v>
      </c>
      <c r="J523">
        <v>2.4</v>
      </c>
      <c r="K523">
        <v>6.92</v>
      </c>
      <c r="L523">
        <v>7.12</v>
      </c>
      <c r="M523">
        <f t="shared" si="8"/>
        <v>5.6999999999999993</v>
      </c>
    </row>
    <row r="524" spans="1:13" x14ac:dyDescent="0.2">
      <c r="A524" t="s">
        <v>537</v>
      </c>
      <c r="B524">
        <v>22</v>
      </c>
      <c r="C524" t="s">
        <v>17</v>
      </c>
      <c r="D524">
        <v>4.5</v>
      </c>
      <c r="E524">
        <v>1.8</v>
      </c>
      <c r="F524">
        <v>5.5</v>
      </c>
      <c r="G524">
        <v>0.9</v>
      </c>
      <c r="H524">
        <v>7.6</v>
      </c>
      <c r="I524">
        <v>85</v>
      </c>
      <c r="J524">
        <v>2.9</v>
      </c>
      <c r="K524">
        <v>8.3699999999999992</v>
      </c>
      <c r="L524">
        <v>8.57</v>
      </c>
      <c r="M524">
        <f t="shared" si="8"/>
        <v>8.4</v>
      </c>
    </row>
    <row r="525" spans="1:13" x14ac:dyDescent="0.2">
      <c r="A525" t="s">
        <v>538</v>
      </c>
      <c r="B525">
        <v>23</v>
      </c>
      <c r="C525" t="s">
        <v>13</v>
      </c>
      <c r="D525">
        <v>4.0999999999999996</v>
      </c>
      <c r="E525">
        <v>1.6</v>
      </c>
      <c r="F525">
        <v>5.9</v>
      </c>
      <c r="G525">
        <v>0.8</v>
      </c>
      <c r="H525">
        <v>8.1999999999999993</v>
      </c>
      <c r="I525">
        <v>83</v>
      </c>
      <c r="J525">
        <v>2.8</v>
      </c>
      <c r="K525">
        <v>8.19</v>
      </c>
      <c r="L525">
        <v>8.39</v>
      </c>
      <c r="M525">
        <f t="shared" si="8"/>
        <v>8.6999999999999993</v>
      </c>
    </row>
    <row r="526" spans="1:13" x14ac:dyDescent="0.2">
      <c r="A526" t="s">
        <v>539</v>
      </c>
      <c r="B526">
        <v>20</v>
      </c>
      <c r="C526" t="s">
        <v>17</v>
      </c>
      <c r="D526">
        <v>7.9</v>
      </c>
      <c r="E526">
        <v>3.2</v>
      </c>
      <c r="F526">
        <v>2.1</v>
      </c>
      <c r="G526">
        <v>1.6</v>
      </c>
      <c r="H526">
        <v>6.9</v>
      </c>
      <c r="I526">
        <v>74</v>
      </c>
      <c r="J526">
        <v>2.5</v>
      </c>
      <c r="K526">
        <v>7.28</v>
      </c>
      <c r="L526">
        <v>7.48</v>
      </c>
      <c r="M526">
        <f t="shared" si="8"/>
        <v>4.5999999999999996</v>
      </c>
    </row>
    <row r="527" spans="1:13" x14ac:dyDescent="0.2">
      <c r="A527" t="s">
        <v>540</v>
      </c>
      <c r="B527">
        <v>17</v>
      </c>
      <c r="C527" t="s">
        <v>17</v>
      </c>
      <c r="D527">
        <v>9.8000000000000007</v>
      </c>
      <c r="E527">
        <v>3.9</v>
      </c>
      <c r="F527">
        <v>0.2</v>
      </c>
      <c r="G527">
        <v>2</v>
      </c>
      <c r="H527">
        <v>5</v>
      </c>
      <c r="I527">
        <v>66</v>
      </c>
      <c r="J527">
        <v>2.2000000000000002</v>
      </c>
      <c r="K527">
        <v>6.3999999999999897</v>
      </c>
      <c r="L527">
        <v>6.6</v>
      </c>
      <c r="M527">
        <f t="shared" si="8"/>
        <v>2.4000000000000004</v>
      </c>
    </row>
    <row r="528" spans="1:13" x14ac:dyDescent="0.2">
      <c r="A528" t="s">
        <v>541</v>
      </c>
      <c r="B528">
        <v>24</v>
      </c>
      <c r="C528" t="s">
        <v>17</v>
      </c>
      <c r="D528">
        <v>8.6999999999999993</v>
      </c>
      <c r="E528">
        <v>3.5</v>
      </c>
      <c r="F528">
        <v>1.3</v>
      </c>
      <c r="G528">
        <v>1.7</v>
      </c>
      <c r="H528">
        <v>5.6</v>
      </c>
      <c r="I528">
        <v>61</v>
      </c>
      <c r="J528">
        <v>2</v>
      </c>
      <c r="K528">
        <v>5.8999999999999897</v>
      </c>
      <c r="L528">
        <v>6.1</v>
      </c>
      <c r="M528">
        <f t="shared" si="8"/>
        <v>3.3</v>
      </c>
    </row>
    <row r="529" spans="1:13" x14ac:dyDescent="0.2">
      <c r="A529" t="s">
        <v>542</v>
      </c>
      <c r="B529">
        <v>20</v>
      </c>
      <c r="C529" t="s">
        <v>13</v>
      </c>
      <c r="D529">
        <v>8.3000000000000007</v>
      </c>
      <c r="E529">
        <v>3.3</v>
      </c>
      <c r="F529">
        <v>1.7</v>
      </c>
      <c r="G529">
        <v>1.7</v>
      </c>
      <c r="H529">
        <v>5.9</v>
      </c>
      <c r="I529">
        <v>67</v>
      </c>
      <c r="J529">
        <v>2.2000000000000002</v>
      </c>
      <c r="K529">
        <v>6.52</v>
      </c>
      <c r="L529">
        <v>6.72</v>
      </c>
      <c r="M529">
        <f t="shared" si="8"/>
        <v>3.9000000000000004</v>
      </c>
    </row>
    <row r="530" spans="1:13" x14ac:dyDescent="0.2">
      <c r="A530" t="s">
        <v>543</v>
      </c>
      <c r="B530">
        <v>18</v>
      </c>
      <c r="C530" t="s">
        <v>17</v>
      </c>
      <c r="D530">
        <v>9.9</v>
      </c>
      <c r="E530">
        <v>4</v>
      </c>
      <c r="F530">
        <v>0.1</v>
      </c>
      <c r="G530">
        <v>2</v>
      </c>
      <c r="H530">
        <v>5.8</v>
      </c>
      <c r="I530">
        <v>58</v>
      </c>
      <c r="J530">
        <v>1.9</v>
      </c>
      <c r="K530">
        <v>5.6099999999999897</v>
      </c>
      <c r="L530">
        <v>5.81</v>
      </c>
      <c r="M530">
        <f t="shared" si="8"/>
        <v>2</v>
      </c>
    </row>
    <row r="531" spans="1:13" x14ac:dyDescent="0.2">
      <c r="A531" t="s">
        <v>544</v>
      </c>
      <c r="B531">
        <v>23</v>
      </c>
      <c r="C531" t="s">
        <v>13</v>
      </c>
      <c r="D531">
        <v>9.8000000000000007</v>
      </c>
      <c r="E531">
        <v>3.9</v>
      </c>
      <c r="F531">
        <v>0.2</v>
      </c>
      <c r="G531">
        <v>2</v>
      </c>
      <c r="H531">
        <v>5.5</v>
      </c>
      <c r="I531">
        <v>56</v>
      </c>
      <c r="J531">
        <v>1.9</v>
      </c>
      <c r="K531">
        <v>5.3999999999999897</v>
      </c>
      <c r="L531">
        <v>5.6</v>
      </c>
      <c r="M531">
        <f t="shared" si="8"/>
        <v>2.1</v>
      </c>
    </row>
    <row r="532" spans="1:13" x14ac:dyDescent="0.2">
      <c r="A532" t="s">
        <v>545</v>
      </c>
      <c r="B532">
        <v>21</v>
      </c>
      <c r="C532" t="s">
        <v>13</v>
      </c>
      <c r="D532">
        <v>9.4</v>
      </c>
      <c r="E532">
        <v>3.8</v>
      </c>
      <c r="F532">
        <v>0.6</v>
      </c>
      <c r="G532">
        <v>1.9</v>
      </c>
      <c r="H532">
        <v>5.5</v>
      </c>
      <c r="I532">
        <v>66</v>
      </c>
      <c r="J532">
        <v>2.2000000000000002</v>
      </c>
      <c r="K532">
        <v>6.3999999999999897</v>
      </c>
      <c r="L532">
        <v>6.6</v>
      </c>
      <c r="M532">
        <f t="shared" si="8"/>
        <v>2.8000000000000003</v>
      </c>
    </row>
    <row r="533" spans="1:13" x14ac:dyDescent="0.2">
      <c r="A533" t="s">
        <v>546</v>
      </c>
      <c r="B533">
        <v>17</v>
      </c>
      <c r="C533" t="s">
        <v>17</v>
      </c>
      <c r="D533">
        <v>7.8</v>
      </c>
      <c r="E533">
        <v>3.1</v>
      </c>
      <c r="F533">
        <v>2.2000000000000002</v>
      </c>
      <c r="G533">
        <v>1.6</v>
      </c>
      <c r="H533">
        <v>7</v>
      </c>
      <c r="I533">
        <v>72</v>
      </c>
      <c r="J533">
        <v>2.4</v>
      </c>
      <c r="K533">
        <v>7.0699999999999896</v>
      </c>
      <c r="L533">
        <v>7.27</v>
      </c>
      <c r="M533">
        <f t="shared" si="8"/>
        <v>4.5999999999999996</v>
      </c>
    </row>
    <row r="534" spans="1:13" x14ac:dyDescent="0.2">
      <c r="A534" t="s">
        <v>547</v>
      </c>
      <c r="B534">
        <v>18</v>
      </c>
      <c r="C534" t="s">
        <v>13</v>
      </c>
      <c r="D534">
        <v>9.5</v>
      </c>
      <c r="E534">
        <v>3.8</v>
      </c>
      <c r="F534">
        <v>0.5</v>
      </c>
      <c r="G534">
        <v>1.9</v>
      </c>
      <c r="H534">
        <v>5.7</v>
      </c>
      <c r="I534">
        <v>58</v>
      </c>
      <c r="J534">
        <v>2</v>
      </c>
      <c r="K534">
        <v>5.68</v>
      </c>
      <c r="L534">
        <v>5.88</v>
      </c>
      <c r="M534">
        <f t="shared" si="8"/>
        <v>2.5</v>
      </c>
    </row>
    <row r="535" spans="1:13" x14ac:dyDescent="0.2">
      <c r="A535" t="s">
        <v>548</v>
      </c>
      <c r="B535">
        <v>22</v>
      </c>
      <c r="C535" t="s">
        <v>17</v>
      </c>
      <c r="D535">
        <v>4.9000000000000004</v>
      </c>
      <c r="E535">
        <v>2</v>
      </c>
      <c r="F535">
        <v>5.0999999999999996</v>
      </c>
      <c r="G535">
        <v>1</v>
      </c>
      <c r="H535">
        <v>7.9</v>
      </c>
      <c r="I535">
        <v>78</v>
      </c>
      <c r="J535">
        <v>2.6</v>
      </c>
      <c r="K535">
        <v>7.62</v>
      </c>
      <c r="L535">
        <v>7.82</v>
      </c>
      <c r="M535">
        <f t="shared" si="8"/>
        <v>7.6999999999999993</v>
      </c>
    </row>
    <row r="536" spans="1:13" x14ac:dyDescent="0.2">
      <c r="A536" t="s">
        <v>549</v>
      </c>
      <c r="B536">
        <v>21</v>
      </c>
      <c r="C536" t="s">
        <v>13</v>
      </c>
      <c r="D536">
        <v>9.6999999999999993</v>
      </c>
      <c r="E536">
        <v>3.9</v>
      </c>
      <c r="F536">
        <v>0.3</v>
      </c>
      <c r="G536">
        <v>1.9</v>
      </c>
      <c r="H536">
        <v>5.4</v>
      </c>
      <c r="I536">
        <v>61</v>
      </c>
      <c r="J536">
        <v>2.1</v>
      </c>
      <c r="K536">
        <v>5.99</v>
      </c>
      <c r="L536">
        <v>6.19</v>
      </c>
      <c r="M536">
        <f t="shared" si="8"/>
        <v>2.4</v>
      </c>
    </row>
    <row r="537" spans="1:13" x14ac:dyDescent="0.2">
      <c r="A537" t="s">
        <v>550</v>
      </c>
      <c r="B537">
        <v>19</v>
      </c>
      <c r="C537" t="s">
        <v>13</v>
      </c>
      <c r="D537">
        <v>4.5</v>
      </c>
      <c r="E537">
        <v>1.8</v>
      </c>
      <c r="F537">
        <v>5.5</v>
      </c>
      <c r="G537">
        <v>0.9</v>
      </c>
      <c r="H537">
        <v>8.1999999999999993</v>
      </c>
      <c r="I537">
        <v>83</v>
      </c>
      <c r="J537">
        <v>2.8</v>
      </c>
      <c r="K537">
        <v>8.15</v>
      </c>
      <c r="L537">
        <v>8.35</v>
      </c>
      <c r="M537">
        <f t="shared" si="8"/>
        <v>8.3000000000000007</v>
      </c>
    </row>
    <row r="538" spans="1:13" x14ac:dyDescent="0.2">
      <c r="A538" t="s">
        <v>551</v>
      </c>
      <c r="B538">
        <v>17</v>
      </c>
      <c r="C538" t="s">
        <v>13</v>
      </c>
      <c r="D538">
        <v>9.1999999999999993</v>
      </c>
      <c r="E538">
        <v>3.7</v>
      </c>
      <c r="F538">
        <v>0.8</v>
      </c>
      <c r="G538">
        <v>1.8</v>
      </c>
      <c r="H538">
        <v>6.3</v>
      </c>
      <c r="I538">
        <v>61</v>
      </c>
      <c r="J538">
        <v>2</v>
      </c>
      <c r="K538">
        <v>5.93</v>
      </c>
      <c r="L538">
        <v>6.13</v>
      </c>
      <c r="M538">
        <f t="shared" si="8"/>
        <v>2.8</v>
      </c>
    </row>
    <row r="539" spans="1:13" x14ac:dyDescent="0.2">
      <c r="A539" t="s">
        <v>552</v>
      </c>
      <c r="B539">
        <v>25</v>
      </c>
      <c r="C539" t="s">
        <v>13</v>
      </c>
      <c r="D539">
        <v>10</v>
      </c>
      <c r="E539">
        <v>4</v>
      </c>
      <c r="F539">
        <v>0</v>
      </c>
      <c r="G539">
        <v>2</v>
      </c>
      <c r="H539">
        <v>5.6</v>
      </c>
      <c r="I539">
        <v>61</v>
      </c>
      <c r="J539">
        <v>2.1</v>
      </c>
      <c r="K539">
        <v>5.99</v>
      </c>
      <c r="L539">
        <v>6.19</v>
      </c>
      <c r="M539">
        <f t="shared" si="8"/>
        <v>2.1</v>
      </c>
    </row>
    <row r="540" spans="1:13" x14ac:dyDescent="0.2">
      <c r="A540" t="s">
        <v>553</v>
      </c>
      <c r="B540">
        <v>25</v>
      </c>
      <c r="C540" t="s">
        <v>13</v>
      </c>
      <c r="D540">
        <v>7.8</v>
      </c>
      <c r="E540">
        <v>3.1</v>
      </c>
      <c r="F540">
        <v>2.2000000000000002</v>
      </c>
      <c r="G540">
        <v>1.6</v>
      </c>
      <c r="H540">
        <v>6.6</v>
      </c>
      <c r="I540">
        <v>74</v>
      </c>
      <c r="J540">
        <v>2.5</v>
      </c>
      <c r="K540">
        <v>7.2</v>
      </c>
      <c r="L540">
        <v>7.4</v>
      </c>
      <c r="M540">
        <f t="shared" si="8"/>
        <v>4.7</v>
      </c>
    </row>
    <row r="541" spans="1:13" x14ac:dyDescent="0.2">
      <c r="A541" t="s">
        <v>554</v>
      </c>
      <c r="B541">
        <v>22</v>
      </c>
      <c r="C541" t="s">
        <v>13</v>
      </c>
      <c r="D541">
        <v>5.6</v>
      </c>
      <c r="E541">
        <v>2.2000000000000002</v>
      </c>
      <c r="F541">
        <v>4.4000000000000004</v>
      </c>
      <c r="G541">
        <v>1.1000000000000001</v>
      </c>
      <c r="H541">
        <v>7.9</v>
      </c>
      <c r="I541">
        <v>86</v>
      </c>
      <c r="J541">
        <v>2.9</v>
      </c>
      <c r="K541">
        <v>8.4700000000000006</v>
      </c>
      <c r="L541">
        <v>8.67</v>
      </c>
      <c r="M541">
        <f t="shared" si="8"/>
        <v>7.3000000000000007</v>
      </c>
    </row>
    <row r="542" spans="1:13" x14ac:dyDescent="0.2">
      <c r="A542" t="s">
        <v>555</v>
      </c>
      <c r="B542">
        <v>17</v>
      </c>
      <c r="C542" t="s">
        <v>17</v>
      </c>
      <c r="D542">
        <v>4.0999999999999996</v>
      </c>
      <c r="E542">
        <v>1.6</v>
      </c>
      <c r="F542">
        <v>5.9</v>
      </c>
      <c r="G542">
        <v>0.8</v>
      </c>
      <c r="H542">
        <v>8.1999999999999993</v>
      </c>
      <c r="I542">
        <v>78</v>
      </c>
      <c r="J542">
        <v>2.6</v>
      </c>
      <c r="K542">
        <v>7.63</v>
      </c>
      <c r="L542">
        <v>7.83</v>
      </c>
      <c r="M542">
        <f t="shared" si="8"/>
        <v>8.5</v>
      </c>
    </row>
    <row r="543" spans="1:13" x14ac:dyDescent="0.2">
      <c r="A543" t="s">
        <v>556</v>
      </c>
      <c r="B543">
        <v>24</v>
      </c>
      <c r="C543" t="s">
        <v>13</v>
      </c>
      <c r="D543">
        <v>6.4</v>
      </c>
      <c r="E543">
        <v>2.6</v>
      </c>
      <c r="F543">
        <v>3.6</v>
      </c>
      <c r="G543">
        <v>1.3</v>
      </c>
      <c r="H543">
        <v>7.5</v>
      </c>
      <c r="I543">
        <v>79</v>
      </c>
      <c r="J543">
        <v>2.6</v>
      </c>
      <c r="K543">
        <v>7.74</v>
      </c>
      <c r="L543">
        <v>7.94</v>
      </c>
      <c r="M543">
        <f t="shared" si="8"/>
        <v>6.2</v>
      </c>
    </row>
    <row r="544" spans="1:13" x14ac:dyDescent="0.2">
      <c r="A544" t="s">
        <v>557</v>
      </c>
      <c r="B544">
        <v>17</v>
      </c>
      <c r="C544" t="s">
        <v>17</v>
      </c>
      <c r="D544">
        <v>8.3000000000000007</v>
      </c>
      <c r="E544">
        <v>3.3</v>
      </c>
      <c r="F544">
        <v>1.7</v>
      </c>
      <c r="G544">
        <v>1.7</v>
      </c>
      <c r="H544">
        <v>6</v>
      </c>
      <c r="I544">
        <v>58</v>
      </c>
      <c r="J544">
        <v>1.9</v>
      </c>
      <c r="K544">
        <v>5.62</v>
      </c>
      <c r="L544">
        <v>5.82</v>
      </c>
      <c r="M544">
        <f t="shared" si="8"/>
        <v>3.5999999999999996</v>
      </c>
    </row>
    <row r="545" spans="1:13" x14ac:dyDescent="0.2">
      <c r="A545" t="s">
        <v>558</v>
      </c>
      <c r="B545">
        <v>21</v>
      </c>
      <c r="C545" t="s">
        <v>13</v>
      </c>
      <c r="D545">
        <v>9.8000000000000007</v>
      </c>
      <c r="E545">
        <v>3.9</v>
      </c>
      <c r="F545">
        <v>0.2</v>
      </c>
      <c r="G545">
        <v>2</v>
      </c>
      <c r="H545">
        <v>6.3</v>
      </c>
      <c r="I545">
        <v>64</v>
      </c>
      <c r="J545">
        <v>2.2000000000000002</v>
      </c>
      <c r="K545">
        <v>6.29</v>
      </c>
      <c r="L545">
        <v>6.49</v>
      </c>
      <c r="M545">
        <f t="shared" si="8"/>
        <v>2.4000000000000004</v>
      </c>
    </row>
    <row r="546" spans="1:13" x14ac:dyDescent="0.2">
      <c r="A546" t="s">
        <v>559</v>
      </c>
      <c r="B546">
        <v>24</v>
      </c>
      <c r="C546" t="s">
        <v>13</v>
      </c>
      <c r="D546">
        <v>8.6999999999999993</v>
      </c>
      <c r="E546">
        <v>3.5</v>
      </c>
      <c r="F546">
        <v>1.3</v>
      </c>
      <c r="G546">
        <v>1.7</v>
      </c>
      <c r="H546">
        <v>5.8</v>
      </c>
      <c r="I546">
        <v>59</v>
      </c>
      <c r="J546">
        <v>2</v>
      </c>
      <c r="K546">
        <v>5.79</v>
      </c>
      <c r="L546">
        <v>5.99</v>
      </c>
      <c r="M546">
        <f t="shared" si="8"/>
        <v>3.3</v>
      </c>
    </row>
    <row r="547" spans="1:13" x14ac:dyDescent="0.2">
      <c r="A547">
        <f>SUM(A2:A546)</f>
        <v>0</v>
      </c>
    </row>
  </sheetData>
  <sortState xmlns:xlrd2="http://schemas.microsoft.com/office/spreadsheetml/2017/richdata2" ref="A2:M547">
    <sortCondition ref="A311:A547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22868-A552-8641-B993-04959D9687F5}">
  <dimension ref="A1"/>
  <sheetViews>
    <sheetView tabSelected="1" workbookViewId="0">
      <selection activeCell="I20" sqref="I20"/>
    </sheetView>
  </sheetViews>
  <sheetFormatPr baseColWidth="10" defaultRowHeight="16" x14ac:dyDescent="0.2"/>
  <cols>
    <col min="2" max="2" width="22" customWidth="1"/>
  </cols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Student_Performance_2026</vt:lpstr>
      <vt:lpstr>Cleaned_Data</vt:lpstr>
      <vt:lpstr>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Andile Ngwenya</dc:creator>
  <cp:lastModifiedBy>Andile Ngwenya</cp:lastModifiedBy>
  <dcterms:created xsi:type="dcterms:W3CDTF">2026-02-23T21:32:27Z</dcterms:created>
  <dcterms:modified xsi:type="dcterms:W3CDTF">2026-02-27T01:53:33Z</dcterms:modified>
</cp:coreProperties>
</file>